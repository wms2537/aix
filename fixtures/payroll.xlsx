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ttendance" sheetId="1" r:id="rId1"/>
    <sheet name="Rates" sheetId="2" r:id="rId2"/>
    <sheet name="Payroll" sheetId="3" r:id="rId3"/>
  </sheets>
  <definedNames/>
  <calcPr/>
</workbook>
</file>

<file path=xl/sharedStrings.xml><?xml version="1.0" encoding="utf-8"?>
<sst xmlns="http://schemas.openxmlformats.org/spreadsheetml/2006/main" count="79" uniqueCount="79">
  <si>
    <t>emp_id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</si>
  <si>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</si>
  <si>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</si>
  <si>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</si>
  <si>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</si>
  <si>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</si>
  <si>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</si>
  <si>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</si>
  <si>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</si>
  <si>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</si>
  <si>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</si>
  <si>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</si>
  <si>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</si>
  <si>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</si>
  <si>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</si>
  <si>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</si>
  <si>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</si>
  <si>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</si>
  <si>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</si>
  <si>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</si>
  <si>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</si>
  <si>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</si>
  <si>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</si>
  <si>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</si>
  <si>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</si>
  <si>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</si>
  <si>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</si>
  <si>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</si>
  <si>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</si>
  <si>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</si>
  <si>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</si>
  <si>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</si>
  <si>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</si>
  <si>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</si>
  <si>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</si>
  <si>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</si>
  <si>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</si>
  <si>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</si>
  <si>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</si>
  <si>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</si>
  <si>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</si>
  <si>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</si>
  <si>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</si>
  <si>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</si>
  <si>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</si>
  <si>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</si>
  <si>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</si>
  <si>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</si>
  <si>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</si>
  <si>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</si>
  <si>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</si>
  <si>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</si>
  <si>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</si>
  <si>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</si>
  <si>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</si>
  <si>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</si>
  <si>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</si>
  <si>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</si>
  <si>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</si>
  <si>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</si>
  <si>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</si>
  <si>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</si>
  <si>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</si>
  <si>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</si>
  <si>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</si>
  <si>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</si>
  <si>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</si>
  <si>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</si>
  <si>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</si>
  <si>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</si>
  <si>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</si>
  <si>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</si>
  <si>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rate</t>
  </si>
  <si>
    <t>total_hours</t>
  </si>
  <si>
    <t>regular_hours</t>
  </si>
  <si>
    <t>overtime_hours</t>
  </si>
  <si>
    <t>regular_pay</t>
  </si>
  <si>
    <t>overtime_pay</t>
  </si>
  <si>
    <t>gross_pay</t>
  </si>
</sst>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1"/>
  <sheetViews>
    <sheetView workbookViewId="0" tabSelected="1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>
        <v>2</v>
      </c>
      <c r="C2">
        <v>1</v>
      </c>
      <c r="D2">
        <v>3</v>
      </c>
      <c r="E2">
        <v>9</v>
      </c>
      <c r="F2">
        <v>4</v>
      </c>
      <c r="G2">
        <v>7</v>
      </c>
      <c r="H2">
        <v>10</v>
      </c>
      <c r="I2">
        <v>5</v>
      </c>
      <c r="J2">
        <v>8</v>
      </c>
      <c r="K2">
        <v>10</v>
      </c>
      <c r="L2">
        <v>5</v>
      </c>
      <c r="M2">
        <v>8</v>
      </c>
      <c r="N2">
        <v>8</v>
      </c>
      <c r="O2">
        <v>2</v>
      </c>
      <c r="P2">
        <v>5</v>
      </c>
      <c r="Q2">
        <v>8</v>
      </c>
      <c r="R2">
        <v>7</v>
      </c>
      <c r="S2">
        <v>10</v>
      </c>
      <c r="T2">
        <v>9</v>
      </c>
      <c r="U2">
        <v>2</v>
      </c>
      <c r="V2">
        <v>3</v>
      </c>
      <c r="W2">
        <v>8</v>
      </c>
      <c r="X2">
        <v>4</v>
      </c>
      <c r="Y2">
        <v>4</v>
      </c>
      <c r="Z2">
        <v>8</v>
      </c>
      <c r="AA2">
        <v>8</v>
      </c>
      <c r="AB2">
        <v>1</v>
      </c>
      <c r="AC2">
        <v>4</v>
      </c>
      <c r="AD2">
        <v>1</v>
      </c>
      <c r="AE2">
        <v>4</v>
      </c>
      <c r="AF2">
        <v>6</v>
      </c>
    </row>
    <row r="3">
      <c r="A3" t="s">
        <v>33</v>
      </c>
      <c r="B3">
        <v>2</v>
      </c>
      <c r="C3">
        <v>9</v>
      </c>
      <c r="D3">
        <v>4</v>
      </c>
      <c r="E3">
        <v>3</v>
      </c>
      <c r="F3">
        <v>6</v>
      </c>
      <c r="G3">
        <v>7</v>
      </c>
      <c r="H3">
        <v>4</v>
      </c>
      <c r="I3">
        <v>1</v>
      </c>
      <c r="J3">
        <v>1</v>
      </c>
      <c r="K3">
        <v>1</v>
      </c>
      <c r="L3">
        <v>6</v>
      </c>
      <c r="M3">
        <v>10</v>
      </c>
      <c r="N3">
        <v>8</v>
      </c>
      <c r="O3">
        <v>8</v>
      </c>
      <c r="P3">
        <v>7</v>
      </c>
      <c r="Q3">
        <v>0</v>
      </c>
      <c r="R3">
        <v>8</v>
      </c>
      <c r="S3">
        <v>7</v>
      </c>
      <c r="T3">
        <v>5</v>
      </c>
      <c r="U3">
        <v>3</v>
      </c>
      <c r="V3">
        <v>9</v>
      </c>
      <c r="W3">
        <v>9</v>
      </c>
      <c r="X3">
        <v>7</v>
      </c>
      <c r="Y3">
        <v>9</v>
      </c>
      <c r="Z3">
        <v>5</v>
      </c>
      <c r="AA3">
        <v>0</v>
      </c>
      <c r="AB3">
        <v>0</v>
      </c>
      <c r="AC3">
        <v>7</v>
      </c>
      <c r="AD3">
        <v>5</v>
      </c>
      <c r="AE3">
        <v>6</v>
      </c>
      <c r="AF3">
        <v>6</v>
      </c>
    </row>
    <row r="4">
      <c r="A4" t="s">
        <v>34</v>
      </c>
      <c r="B4">
        <v>6</v>
      </c>
      <c r="C4">
        <v>0</v>
      </c>
      <c r="D4">
        <v>5</v>
      </c>
      <c r="E4">
        <v>0</v>
      </c>
      <c r="F4">
        <v>9</v>
      </c>
      <c r="G4">
        <v>1</v>
      </c>
      <c r="H4">
        <v>7</v>
      </c>
      <c r="I4">
        <v>9</v>
      </c>
      <c r="J4">
        <v>0</v>
      </c>
      <c r="K4">
        <v>0</v>
      </c>
      <c r="L4">
        <v>5</v>
      </c>
      <c r="M4">
        <v>3</v>
      </c>
      <c r="N4">
        <v>2</v>
      </c>
      <c r="O4">
        <v>2</v>
      </c>
      <c r="P4">
        <v>8</v>
      </c>
      <c r="Q4">
        <v>0</v>
      </c>
      <c r="R4">
        <v>8</v>
      </c>
      <c r="S4">
        <v>5</v>
      </c>
      <c r="T4">
        <v>3</v>
      </c>
      <c r="U4">
        <v>10</v>
      </c>
      <c r="V4">
        <v>4</v>
      </c>
      <c r="W4">
        <v>7</v>
      </c>
      <c r="X4">
        <v>0</v>
      </c>
      <c r="Y4">
        <v>6</v>
      </c>
      <c r="Z4">
        <v>7</v>
      </c>
      <c r="AA4">
        <v>9</v>
      </c>
      <c r="AB4">
        <v>0</v>
      </c>
      <c r="AC4">
        <v>9</v>
      </c>
      <c r="AD4">
        <v>6</v>
      </c>
      <c r="AE4">
        <v>1</v>
      </c>
      <c r="AF4">
        <v>9</v>
      </c>
    </row>
    <row r="5">
      <c r="A5" t="s">
        <v>35</v>
      </c>
      <c r="B5">
        <v>4</v>
      </c>
      <c r="C5">
        <v>5</v>
      </c>
      <c r="D5">
        <v>10</v>
      </c>
      <c r="E5">
        <v>3</v>
      </c>
      <c r="F5">
        <v>4</v>
      </c>
      <c r="G5">
        <v>2</v>
      </c>
      <c r="H5">
        <v>4</v>
      </c>
      <c r="I5">
        <v>3</v>
      </c>
      <c r="J5">
        <v>10</v>
      </c>
      <c r="K5">
        <v>4</v>
      </c>
      <c r="L5">
        <v>7</v>
      </c>
      <c r="M5">
        <v>2</v>
      </c>
      <c r="N5">
        <v>10</v>
      </c>
      <c r="O5">
        <v>0</v>
      </c>
      <c r="P5">
        <v>7</v>
      </c>
      <c r="Q5">
        <v>1</v>
      </c>
      <c r="R5">
        <v>3</v>
      </c>
      <c r="S5">
        <v>7</v>
      </c>
      <c r="T5">
        <v>1</v>
      </c>
      <c r="U5">
        <v>4</v>
      </c>
      <c r="V5">
        <v>9</v>
      </c>
      <c r="W5">
        <v>9</v>
      </c>
      <c r="X5">
        <v>4</v>
      </c>
      <c r="Y5">
        <v>5</v>
      </c>
      <c r="Z5">
        <v>0</v>
      </c>
      <c r="AA5">
        <v>7</v>
      </c>
      <c r="AB5">
        <v>4</v>
      </c>
      <c r="AC5">
        <v>2</v>
      </c>
      <c r="AD5">
        <v>4</v>
      </c>
      <c r="AE5">
        <v>2</v>
      </c>
      <c r="AF5">
        <v>10</v>
      </c>
    </row>
    <row r="6">
      <c r="A6" t="s">
        <v>36</v>
      </c>
      <c r="B6">
        <v>10</v>
      </c>
      <c r="C6">
        <v>2</v>
      </c>
      <c r="D6">
        <v>1</v>
      </c>
      <c r="E6">
        <v>8</v>
      </c>
      <c r="F6">
        <v>1</v>
      </c>
      <c r="G6">
        <v>1</v>
      </c>
      <c r="H6">
        <v>2</v>
      </c>
      <c r="I6">
        <v>7</v>
      </c>
      <c r="J6">
        <v>2</v>
      </c>
      <c r="K6">
        <v>9</v>
      </c>
      <c r="L6">
        <v>3</v>
      </c>
      <c r="M6">
        <v>2</v>
      </c>
      <c r="N6">
        <v>8</v>
      </c>
      <c r="O6">
        <v>9</v>
      </c>
      <c r="P6">
        <v>6</v>
      </c>
      <c r="Q6">
        <v>1</v>
      </c>
      <c r="R6">
        <v>9</v>
      </c>
      <c r="S6">
        <v>6</v>
      </c>
      <c r="T6">
        <v>10</v>
      </c>
      <c r="U6">
        <v>5</v>
      </c>
      <c r="V6">
        <v>2</v>
      </c>
      <c r="W6">
        <v>8</v>
      </c>
      <c r="X6">
        <v>6</v>
      </c>
      <c r="Y6">
        <v>8</v>
      </c>
      <c r="Z6">
        <v>10</v>
      </c>
      <c r="AA6">
        <v>3</v>
      </c>
      <c r="AB6">
        <v>10</v>
      </c>
      <c r="AC6">
        <v>1</v>
      </c>
      <c r="AD6">
        <v>7</v>
      </c>
      <c r="AE6">
        <v>1</v>
      </c>
      <c r="AF6">
        <v>9</v>
      </c>
    </row>
    <row r="7">
      <c r="A7" t="s">
        <v>37</v>
      </c>
      <c r="B7">
        <v>8</v>
      </c>
      <c r="C7">
        <v>2</v>
      </c>
      <c r="D7">
        <v>3</v>
      </c>
      <c r="E7">
        <v>4</v>
      </c>
      <c r="F7">
        <v>5</v>
      </c>
      <c r="G7">
        <v>5</v>
      </c>
      <c r="H7">
        <v>10</v>
      </c>
      <c r="I7">
        <v>8</v>
      </c>
      <c r="J7">
        <v>1</v>
      </c>
      <c r="K7">
        <v>1</v>
      </c>
      <c r="L7">
        <v>1</v>
      </c>
      <c r="M7">
        <v>8</v>
      </c>
      <c r="N7">
        <v>8</v>
      </c>
      <c r="O7">
        <v>9</v>
      </c>
      <c r="P7">
        <v>3</v>
      </c>
      <c r="Q7">
        <v>4</v>
      </c>
      <c r="R7">
        <v>5</v>
      </c>
      <c r="S7">
        <v>6</v>
      </c>
      <c r="T7">
        <v>0</v>
      </c>
      <c r="U7">
        <v>1</v>
      </c>
      <c r="V7">
        <v>8</v>
      </c>
      <c r="W7">
        <v>4</v>
      </c>
      <c r="X7">
        <v>3</v>
      </c>
      <c r="Y7">
        <v>8</v>
      </c>
      <c r="Z7">
        <v>6</v>
      </c>
      <c r="AA7">
        <v>2</v>
      </c>
      <c r="AB7">
        <v>2</v>
      </c>
      <c r="AC7">
        <v>0</v>
      </c>
      <c r="AD7">
        <v>5</v>
      </c>
      <c r="AE7">
        <v>8</v>
      </c>
      <c r="AF7">
        <v>0</v>
      </c>
    </row>
    <row r="8">
      <c r="A8" t="s">
        <v>38</v>
      </c>
      <c r="B8">
        <v>2</v>
      </c>
      <c r="C8">
        <v>9</v>
      </c>
      <c r="D8">
        <v>4</v>
      </c>
      <c r="E8">
        <v>10</v>
      </c>
      <c r="F8">
        <v>6</v>
      </c>
      <c r="G8">
        <v>10</v>
      </c>
      <c r="H8">
        <v>3</v>
      </c>
      <c r="I8">
        <v>8</v>
      </c>
      <c r="J8">
        <v>3</v>
      </c>
      <c r="K8">
        <v>6</v>
      </c>
      <c r="L8">
        <v>8</v>
      </c>
      <c r="M8">
        <v>6</v>
      </c>
      <c r="N8">
        <v>0</v>
      </c>
      <c r="O8">
        <v>0</v>
      </c>
      <c r="P8">
        <v>5</v>
      </c>
      <c r="Q8">
        <v>1</v>
      </c>
      <c r="R8">
        <v>1</v>
      </c>
      <c r="S8">
        <v>4</v>
      </c>
      <c r="T8">
        <v>6</v>
      </c>
      <c r="U8">
        <v>6</v>
      </c>
      <c r="V8">
        <v>10</v>
      </c>
      <c r="W8">
        <v>8</v>
      </c>
      <c r="X8">
        <v>1</v>
      </c>
      <c r="Y8">
        <v>9</v>
      </c>
      <c r="Z8">
        <v>2</v>
      </c>
      <c r="AA8">
        <v>4</v>
      </c>
      <c r="AB8">
        <v>10</v>
      </c>
      <c r="AC8">
        <v>8</v>
      </c>
      <c r="AD8">
        <v>5</v>
      </c>
      <c r="AE8">
        <v>9</v>
      </c>
      <c r="AF8">
        <v>5</v>
      </c>
    </row>
    <row r="9">
      <c r="A9" t="s">
        <v>39</v>
      </c>
      <c r="B9">
        <v>3</v>
      </c>
      <c r="C9">
        <v>5</v>
      </c>
      <c r="D9">
        <v>1</v>
      </c>
      <c r="E9">
        <v>4</v>
      </c>
      <c r="F9">
        <v>1</v>
      </c>
      <c r="G9">
        <v>9</v>
      </c>
      <c r="H9">
        <v>1</v>
      </c>
      <c r="I9">
        <v>8</v>
      </c>
      <c r="J9">
        <v>1</v>
      </c>
      <c r="K9">
        <v>1</v>
      </c>
      <c r="L9">
        <v>9</v>
      </c>
      <c r="M9">
        <v>9</v>
      </c>
      <c r="N9">
        <v>0</v>
      </c>
      <c r="O9">
        <v>1</v>
      </c>
      <c r="P9">
        <v>7</v>
      </c>
      <c r="Q9">
        <v>4</v>
      </c>
      <c r="R9">
        <v>4</v>
      </c>
      <c r="S9">
        <v>9</v>
      </c>
      <c r="T9">
        <v>9</v>
      </c>
      <c r="U9">
        <v>5</v>
      </c>
      <c r="V9">
        <v>3</v>
      </c>
      <c r="W9">
        <v>10</v>
      </c>
      <c r="X9">
        <v>5</v>
      </c>
      <c r="Y9">
        <v>1</v>
      </c>
      <c r="Z9">
        <v>5</v>
      </c>
      <c r="AA9">
        <v>1</v>
      </c>
      <c r="AB9">
        <v>5</v>
      </c>
      <c r="AC9">
        <v>6</v>
      </c>
      <c r="AD9">
        <v>2</v>
      </c>
      <c r="AE9">
        <v>10</v>
      </c>
      <c r="AF9">
        <v>8</v>
      </c>
    </row>
    <row r="10">
      <c r="A10" t="s">
        <v>40</v>
      </c>
      <c r="B10">
        <v>3</v>
      </c>
      <c r="C10">
        <v>0</v>
      </c>
      <c r="D10">
        <v>2</v>
      </c>
      <c r="E10">
        <v>3</v>
      </c>
      <c r="F10">
        <v>2</v>
      </c>
      <c r="G10">
        <v>2</v>
      </c>
      <c r="H10">
        <v>5</v>
      </c>
      <c r="I10">
        <v>5</v>
      </c>
      <c r="J10">
        <v>5</v>
      </c>
      <c r="K10">
        <v>3</v>
      </c>
      <c r="L10">
        <v>2</v>
      </c>
      <c r="M10">
        <v>0</v>
      </c>
      <c r="N10">
        <v>3</v>
      </c>
      <c r="O10">
        <v>10</v>
      </c>
      <c r="P10">
        <v>4</v>
      </c>
      <c r="Q10">
        <v>6</v>
      </c>
      <c r="R10">
        <v>0</v>
      </c>
      <c r="S10">
        <v>4</v>
      </c>
      <c r="T10">
        <v>0</v>
      </c>
      <c r="U10">
        <v>10</v>
      </c>
      <c r="V10">
        <v>9</v>
      </c>
      <c r="W10">
        <v>0</v>
      </c>
      <c r="X10">
        <v>4</v>
      </c>
      <c r="Y10">
        <v>3</v>
      </c>
      <c r="Z10">
        <v>6</v>
      </c>
      <c r="AA10">
        <v>2</v>
      </c>
      <c r="AB10">
        <v>7</v>
      </c>
      <c r="AC10">
        <v>0</v>
      </c>
      <c r="AD10">
        <v>10</v>
      </c>
      <c r="AE10">
        <v>0</v>
      </c>
      <c r="AF10">
        <v>8</v>
      </c>
    </row>
    <row r="11">
      <c r="A11" t="s">
        <v>41</v>
      </c>
      <c r="B11">
        <v>5</v>
      </c>
      <c r="C11">
        <v>2</v>
      </c>
      <c r="D11">
        <v>3</v>
      </c>
      <c r="E11">
        <v>4</v>
      </c>
      <c r="F11">
        <v>9</v>
      </c>
      <c r="G11">
        <v>3</v>
      </c>
      <c r="H11">
        <v>4</v>
      </c>
      <c r="I11">
        <v>4</v>
      </c>
      <c r="J11">
        <v>7</v>
      </c>
      <c r="K11">
        <v>9</v>
      </c>
      <c r="L11">
        <v>3</v>
      </c>
      <c r="M11">
        <v>7</v>
      </c>
      <c r="N11">
        <v>1</v>
      </c>
      <c r="O11">
        <v>3</v>
      </c>
      <c r="P11">
        <v>0</v>
      </c>
      <c r="Q11">
        <v>7</v>
      </c>
      <c r="R11">
        <v>8</v>
      </c>
      <c r="S11">
        <v>4</v>
      </c>
      <c r="T11">
        <v>2</v>
      </c>
      <c r="U11">
        <v>8</v>
      </c>
      <c r="V11">
        <v>5</v>
      </c>
      <c r="W11">
        <v>4</v>
      </c>
      <c r="X11">
        <v>9</v>
      </c>
      <c r="Y11">
        <v>0</v>
      </c>
      <c r="Z11">
        <v>2</v>
      </c>
      <c r="AA11">
        <v>8</v>
      </c>
      <c r="AB11">
        <v>6</v>
      </c>
      <c r="AC11">
        <v>2</v>
      </c>
      <c r="AD11">
        <v>0</v>
      </c>
      <c r="AE11">
        <v>6</v>
      </c>
      <c r="AF11">
        <v>0</v>
      </c>
    </row>
    <row r="12">
      <c r="A12" t="s">
        <v>42</v>
      </c>
      <c r="B12">
        <v>3</v>
      </c>
      <c r="C12">
        <v>0</v>
      </c>
      <c r="D12">
        <v>10</v>
      </c>
      <c r="E12">
        <v>3</v>
      </c>
      <c r="F12">
        <v>7</v>
      </c>
      <c r="G12">
        <v>6</v>
      </c>
      <c r="H12">
        <v>4</v>
      </c>
      <c r="I12">
        <v>9</v>
      </c>
      <c r="J12">
        <v>3</v>
      </c>
      <c r="K12">
        <v>2</v>
      </c>
      <c r="L12">
        <v>7</v>
      </c>
      <c r="M12">
        <v>5</v>
      </c>
      <c r="N12">
        <v>1</v>
      </c>
      <c r="O12">
        <v>0</v>
      </c>
      <c r="P12">
        <v>2</v>
      </c>
      <c r="Q12">
        <v>8</v>
      </c>
      <c r="R12">
        <v>5</v>
      </c>
      <c r="S12">
        <v>0</v>
      </c>
      <c r="T12">
        <v>10</v>
      </c>
      <c r="U12">
        <v>10</v>
      </c>
      <c r="V12">
        <v>10</v>
      </c>
      <c r="W12">
        <v>8</v>
      </c>
      <c r="X12">
        <v>4</v>
      </c>
      <c r="Y12">
        <v>7</v>
      </c>
      <c r="Z12">
        <v>1</v>
      </c>
      <c r="AA12">
        <v>4</v>
      </c>
      <c r="AB12">
        <v>4</v>
      </c>
      <c r="AC12">
        <v>6</v>
      </c>
      <c r="AD12">
        <v>4</v>
      </c>
      <c r="AE12">
        <v>1</v>
      </c>
      <c r="AF12">
        <v>6</v>
      </c>
    </row>
    <row r="13">
      <c r="A13" t="s">
        <v>43</v>
      </c>
      <c r="B13">
        <v>1</v>
      </c>
      <c r="C13">
        <v>4</v>
      </c>
      <c r="D13">
        <v>9</v>
      </c>
      <c r="E13">
        <v>0</v>
      </c>
      <c r="F13">
        <v>7</v>
      </c>
      <c r="G13">
        <v>1</v>
      </c>
      <c r="H13">
        <v>7</v>
      </c>
      <c r="I13">
        <v>5</v>
      </c>
      <c r="J13">
        <v>3</v>
      </c>
      <c r="K13">
        <v>7</v>
      </c>
      <c r="L13">
        <v>1</v>
      </c>
      <c r="M13">
        <v>0</v>
      </c>
      <c r="N13">
        <v>6</v>
      </c>
      <c r="O13">
        <v>4</v>
      </c>
      <c r="P13">
        <v>3</v>
      </c>
      <c r="Q13">
        <v>9</v>
      </c>
      <c r="R13">
        <v>6</v>
      </c>
      <c r="S13">
        <v>5</v>
      </c>
      <c r="T13">
        <v>8</v>
      </c>
      <c r="U13">
        <v>9</v>
      </c>
      <c r="V13">
        <v>5</v>
      </c>
      <c r="W13">
        <v>10</v>
      </c>
      <c r="X13">
        <v>9</v>
      </c>
      <c r="Y13">
        <v>4</v>
      </c>
      <c r="Z13">
        <v>10</v>
      </c>
      <c r="AA13">
        <v>5</v>
      </c>
      <c r="AB13">
        <v>1</v>
      </c>
      <c r="AC13">
        <v>6</v>
      </c>
      <c r="AD13">
        <v>5</v>
      </c>
      <c r="AE13">
        <v>2</v>
      </c>
      <c r="AF13">
        <v>6</v>
      </c>
    </row>
    <row r="14">
      <c r="A14" t="s">
        <v>44</v>
      </c>
      <c r="B14">
        <v>4</v>
      </c>
      <c r="C14">
        <v>1</v>
      </c>
      <c r="D14">
        <v>8</v>
      </c>
      <c r="E14">
        <v>4</v>
      </c>
      <c r="F14">
        <v>7</v>
      </c>
      <c r="G14">
        <v>0</v>
      </c>
      <c r="H14">
        <v>6</v>
      </c>
      <c r="I14">
        <v>10</v>
      </c>
      <c r="J14">
        <v>2</v>
      </c>
      <c r="K14">
        <v>7</v>
      </c>
      <c r="L14">
        <v>2</v>
      </c>
      <c r="M14">
        <v>5</v>
      </c>
      <c r="N14">
        <v>4</v>
      </c>
      <c r="O14">
        <v>2</v>
      </c>
      <c r="P14">
        <v>8</v>
      </c>
      <c r="Q14">
        <v>4</v>
      </c>
      <c r="R14">
        <v>-8</v>
      </c>
      <c r="S14">
        <v>9</v>
      </c>
      <c r="T14">
        <v>6</v>
      </c>
      <c r="U14">
        <v>3</v>
      </c>
      <c r="V14">
        <v>4</v>
      </c>
      <c r="W14">
        <v>10</v>
      </c>
      <c r="X14">
        <v>2</v>
      </c>
      <c r="Y14">
        <v>8</v>
      </c>
      <c r="Z14">
        <v>2</v>
      </c>
      <c r="AA14">
        <v>1</v>
      </c>
      <c r="AB14">
        <v>1</v>
      </c>
      <c r="AC14">
        <v>8</v>
      </c>
      <c r="AD14">
        <v>1</v>
      </c>
      <c r="AE14">
        <v>4</v>
      </c>
      <c r="AF14">
        <v>4</v>
      </c>
    </row>
    <row r="15">
      <c r="A15" t="s">
        <v>45</v>
      </c>
      <c r="B15">
        <v>1</v>
      </c>
      <c r="C15">
        <v>10</v>
      </c>
      <c r="D15">
        <v>9</v>
      </c>
      <c r="E15">
        <v>3</v>
      </c>
      <c r="F15">
        <v>6</v>
      </c>
      <c r="G15">
        <v>5</v>
      </c>
      <c r="H15">
        <v>7</v>
      </c>
      <c r="I15">
        <v>5</v>
      </c>
      <c r="J15">
        <v>5</v>
      </c>
      <c r="K15">
        <v>3</v>
      </c>
      <c r="L15">
        <v>6</v>
      </c>
      <c r="M15">
        <v>7</v>
      </c>
      <c r="N15">
        <v>8</v>
      </c>
      <c r="O15">
        <v>2</v>
      </c>
      <c r="P15">
        <v>4</v>
      </c>
      <c r="Q15">
        <v>8</v>
      </c>
      <c r="R15">
        <v>4</v>
      </c>
      <c r="S15">
        <v>2</v>
      </c>
      <c r="T15">
        <v>5</v>
      </c>
      <c r="U15">
        <v>10</v>
      </c>
      <c r="V15">
        <v>6</v>
      </c>
      <c r="W15">
        <v>8</v>
      </c>
      <c r="X15">
        <v>0</v>
      </c>
      <c r="Y15">
        <v>8</v>
      </c>
      <c r="Z15">
        <v>2</v>
      </c>
      <c r="AA15">
        <v>7</v>
      </c>
      <c r="AB15">
        <v>4</v>
      </c>
      <c r="AC15">
        <v>0</v>
      </c>
      <c r="AD15">
        <v>5</v>
      </c>
      <c r="AE15">
        <v>1</v>
      </c>
      <c r="AF15">
        <v>6</v>
      </c>
    </row>
    <row r="16">
      <c r="A16" t="s">
        <v>46</v>
      </c>
      <c r="B16">
        <v>9</v>
      </c>
      <c r="C16">
        <v>0</v>
      </c>
      <c r="D16">
        <v>5</v>
      </c>
      <c r="E16">
        <v>7</v>
      </c>
      <c r="F16">
        <v>1</v>
      </c>
      <c r="G16">
        <v>8</v>
      </c>
      <c r="H16">
        <v>1</v>
      </c>
      <c r="I16">
        <v>1</v>
      </c>
      <c r="J16">
        <v>10</v>
      </c>
      <c r="K16">
        <v>4</v>
      </c>
      <c r="L16">
        <v>3</v>
      </c>
      <c r="M16">
        <v>6</v>
      </c>
      <c r="N16">
        <v>5</v>
      </c>
      <c r="O16">
        <v>8</v>
      </c>
      <c r="P16">
        <v>0</v>
      </c>
      <c r="Q16">
        <v>5</v>
      </c>
      <c r="R16">
        <v>9</v>
      </c>
      <c r="S16">
        <v>0</v>
      </c>
      <c r="T16">
        <v>9</v>
      </c>
      <c r="U16">
        <v>3</v>
      </c>
      <c r="V16">
        <v>5</v>
      </c>
      <c r="W16">
        <v>5</v>
      </c>
      <c r="X16">
        <v>8</v>
      </c>
      <c r="Y16">
        <v>4</v>
      </c>
      <c r="Z16">
        <v>5</v>
      </c>
      <c r="AA16">
        <v>2</v>
      </c>
      <c r="AB16">
        <v>2</v>
      </c>
      <c r="AC16">
        <v>7</v>
      </c>
      <c r="AD16">
        <v>0</v>
      </c>
      <c r="AE16">
        <v>1</v>
      </c>
      <c r="AF16">
        <v>0</v>
      </c>
    </row>
    <row r="17">
      <c r="A17" t="s">
        <v>47</v>
      </c>
      <c r="B17">
        <v>5</v>
      </c>
      <c r="C17">
        <v>8</v>
      </c>
      <c r="D17">
        <v>4</v>
      </c>
      <c r="E17">
        <v>8</v>
      </c>
      <c r="F17">
        <v>0</v>
      </c>
      <c r="G17">
        <v>6</v>
      </c>
      <c r="H17">
        <v>8</v>
      </c>
      <c r="I17">
        <v>8</v>
      </c>
      <c r="J17">
        <v>9</v>
      </c>
      <c r="K17">
        <v>1</v>
      </c>
      <c r="L17">
        <v>6</v>
      </c>
      <c r="M17">
        <v>9</v>
      </c>
      <c r="N17">
        <v>9</v>
      </c>
      <c r="O17">
        <v>10</v>
      </c>
      <c r="P17">
        <v>0</v>
      </c>
      <c r="Q17">
        <v>7</v>
      </c>
      <c r="R17">
        <v>9</v>
      </c>
      <c r="S17">
        <v>10</v>
      </c>
      <c r="T17">
        <v>8</v>
      </c>
      <c r="U17">
        <v>8</v>
      </c>
      <c r="V17">
        <v>1</v>
      </c>
      <c r="W17">
        <v>4</v>
      </c>
      <c r="X17">
        <v>2</v>
      </c>
      <c r="Y17">
        <v>5</v>
      </c>
      <c r="Z17">
        <v>0</v>
      </c>
      <c r="AA17">
        <v>7</v>
      </c>
      <c r="AB17">
        <v>10</v>
      </c>
      <c r="AC17">
        <v>6</v>
      </c>
      <c r="AD17">
        <v>9</v>
      </c>
      <c r="AE17">
        <v>3</v>
      </c>
      <c r="AF17">
        <v>7</v>
      </c>
    </row>
    <row r="18">
      <c r="A18" t="s">
        <v>48</v>
      </c>
      <c r="B18">
        <v>10</v>
      </c>
      <c r="C18">
        <v>0</v>
      </c>
      <c r="D18">
        <v>0</v>
      </c>
      <c r="E18">
        <v>6</v>
      </c>
      <c r="F18">
        <v>2</v>
      </c>
      <c r="G18">
        <v>3</v>
      </c>
      <c r="H18">
        <v>5</v>
      </c>
      <c r="I18">
        <v>3</v>
      </c>
      <c r="J18">
        <v>2</v>
      </c>
      <c r="K18">
        <v>0</v>
      </c>
      <c r="L18">
        <v>5</v>
      </c>
      <c r="M18">
        <v>3</v>
      </c>
      <c r="N18">
        <v>10</v>
      </c>
      <c r="O18">
        <v>5</v>
      </c>
      <c r="P18">
        <v>2</v>
      </c>
      <c r="Q18">
        <v>6</v>
      </c>
      <c r="R18">
        <v>8</v>
      </c>
      <c r="S18">
        <v>2</v>
      </c>
      <c r="T18">
        <v>7</v>
      </c>
      <c r="U18">
        <v>10</v>
      </c>
      <c r="V18">
        <v>8</v>
      </c>
      <c r="W18">
        <v>9</v>
      </c>
      <c r="X18">
        <v>1</v>
      </c>
      <c r="Y18">
        <v>5</v>
      </c>
      <c r="Z18">
        <v>4</v>
      </c>
      <c r="AA18">
        <v>2</v>
      </c>
      <c r="AB18">
        <v>1</v>
      </c>
      <c r="AC18">
        <v>7</v>
      </c>
      <c r="AD18">
        <v>0</v>
      </c>
      <c r="AE18">
        <v>0</v>
      </c>
      <c r="AF18">
        <v>7</v>
      </c>
    </row>
    <row r="19">
      <c r="A19" t="s">
        <v>49</v>
      </c>
      <c r="B19">
        <v>6</v>
      </c>
      <c r="C19">
        <v>8</v>
      </c>
      <c r="D19">
        <v>1</v>
      </c>
      <c r="E19">
        <v>1</v>
      </c>
      <c r="F19">
        <v>5</v>
      </c>
      <c r="G19">
        <v>4</v>
      </c>
      <c r="H19">
        <v>9</v>
      </c>
      <c r="I19">
        <v>0</v>
      </c>
      <c r="J19">
        <v>5</v>
      </c>
      <c r="K19">
        <v>10</v>
      </c>
      <c r="L19">
        <v>5</v>
      </c>
      <c r="M19">
        <v>1</v>
      </c>
      <c r="N19">
        <v>7</v>
      </c>
      <c r="O19">
        <v>6</v>
      </c>
      <c r="P19">
        <v>4</v>
      </c>
      <c r="Q19">
        <v>7</v>
      </c>
      <c r="R19">
        <v>10</v>
      </c>
      <c r="S19">
        <v>10</v>
      </c>
      <c r="T19">
        <v>10</v>
      </c>
      <c r="U19">
        <v>8</v>
      </c>
      <c r="V19">
        <v>6</v>
      </c>
      <c r="W19">
        <v>10</v>
      </c>
      <c r="X19">
        <v>2</v>
      </c>
      <c r="Y19">
        <v>4</v>
      </c>
      <c r="Z19">
        <v>7</v>
      </c>
      <c r="AA19">
        <v>6</v>
      </c>
      <c r="AB19">
        <v>10</v>
      </c>
      <c r="AC19">
        <v>9</v>
      </c>
      <c r="AD19">
        <v>4</v>
      </c>
      <c r="AE19">
        <v>0</v>
      </c>
      <c r="AF19">
        <v>4</v>
      </c>
    </row>
    <row r="20">
      <c r="A20" t="s">
        <v>50</v>
      </c>
      <c r="B20">
        <v>5</v>
      </c>
      <c r="C20">
        <v>3</v>
      </c>
      <c r="D20">
        <v>6</v>
      </c>
      <c r="E20">
        <v>0</v>
      </c>
      <c r="F20">
        <v>1</v>
      </c>
      <c r="G20">
        <v>5</v>
      </c>
      <c r="H20">
        <v>0</v>
      </c>
      <c r="I20">
        <v>5</v>
      </c>
      <c r="J20">
        <v>4</v>
      </c>
      <c r="K20">
        <v>1</v>
      </c>
      <c r="L20">
        <v>10</v>
      </c>
      <c r="M20">
        <v>0</v>
      </c>
      <c r="N20">
        <v>10</v>
      </c>
      <c r="O20">
        <v>9</v>
      </c>
      <c r="P20">
        <v>0</v>
      </c>
      <c r="Q20">
        <v>6</v>
      </c>
      <c r="R20">
        <v>5</v>
      </c>
      <c r="S20">
        <v>5</v>
      </c>
      <c r="T20">
        <v>1</v>
      </c>
      <c r="U20">
        <v>4</v>
      </c>
      <c r="V20">
        <v>6</v>
      </c>
      <c r="W20">
        <v>7</v>
      </c>
      <c r="X20">
        <v>1</v>
      </c>
      <c r="Y20">
        <v>10</v>
      </c>
      <c r="Z20">
        <v>5</v>
      </c>
      <c r="AA20">
        <v>5</v>
      </c>
      <c r="AB20">
        <v>6</v>
      </c>
      <c r="AC20">
        <v>4</v>
      </c>
      <c r="AD20">
        <v>4</v>
      </c>
      <c r="AE20">
        <v>3</v>
      </c>
      <c r="AF20">
        <v>7</v>
      </c>
    </row>
    <row r="21">
      <c r="A21" t="s">
        <v>51</v>
      </c>
      <c r="B21">
        <v>0</v>
      </c>
      <c r="C21">
        <v>7</v>
      </c>
      <c r="D21">
        <v>5</v>
      </c>
      <c r="E21">
        <v>9</v>
      </c>
      <c r="F21">
        <v>8</v>
      </c>
      <c r="G21">
        <v>1</v>
      </c>
      <c r="H21">
        <v>9</v>
      </c>
      <c r="I21">
        <v>0</v>
      </c>
      <c r="J21">
        <v>0</v>
      </c>
      <c r="K21">
        <v>9</v>
      </c>
      <c r="L21">
        <v>2</v>
      </c>
      <c r="M21">
        <v>4</v>
      </c>
      <c r="N21">
        <v>4</v>
      </c>
      <c r="O21">
        <v>6</v>
      </c>
      <c r="P21">
        <v>2</v>
      </c>
      <c r="Q21">
        <v>2</v>
      </c>
      <c r="R21">
        <v>6</v>
      </c>
      <c r="S21">
        <v>8</v>
      </c>
      <c r="T21">
        <v>10</v>
      </c>
      <c r="U21">
        <v>7</v>
      </c>
      <c r="V21">
        <v>0</v>
      </c>
      <c r="W21">
        <v>0</v>
      </c>
      <c r="X21">
        <v>5</v>
      </c>
      <c r="Y21">
        <v>1</v>
      </c>
      <c r="Z21">
        <v>7</v>
      </c>
      <c r="AA21">
        <v>7</v>
      </c>
      <c r="AB21">
        <v>0</v>
      </c>
      <c r="AC21">
        <v>4</v>
      </c>
      <c r="AD21">
        <v>4</v>
      </c>
      <c r="AE21">
        <v>3</v>
      </c>
      <c r="AF21">
        <v>9</v>
      </c>
    </row>
    <row r="22">
      <c r="A22" t="s">
        <v>52</v>
      </c>
      <c r="B22">
        <v>3</v>
      </c>
      <c r="C22">
        <v>6</v>
      </c>
      <c r="D22">
        <v>2</v>
      </c>
      <c r="E22">
        <v>3</v>
      </c>
      <c r="F22">
        <v>8</v>
      </c>
      <c r="G22">
        <v>9</v>
      </c>
      <c r="H22">
        <v>0</v>
      </c>
      <c r="I22">
        <v>10</v>
      </c>
      <c r="J22">
        <v>7</v>
      </c>
      <c r="K22">
        <v>2</v>
      </c>
      <c r="L22">
        <v>6</v>
      </c>
      <c r="M22">
        <v>10</v>
      </c>
      <c r="N22">
        <v>7</v>
      </c>
      <c r="O22">
        <v>10</v>
      </c>
      <c r="P22">
        <v>2</v>
      </c>
      <c r="Q22">
        <v>9</v>
      </c>
      <c r="R22">
        <v>10</v>
      </c>
      <c r="S22">
        <v>4</v>
      </c>
      <c r="T22">
        <v>6</v>
      </c>
      <c r="U22">
        <v>7</v>
      </c>
      <c r="V22">
        <v>4</v>
      </c>
      <c r="W22">
        <v>4</v>
      </c>
      <c r="X22">
        <v>0</v>
      </c>
      <c r="Y22">
        <v>8</v>
      </c>
      <c r="Z22">
        <v>9</v>
      </c>
      <c r="AA22">
        <v>3</v>
      </c>
      <c r="AB22">
        <v>8</v>
      </c>
      <c r="AC22">
        <v>1</v>
      </c>
      <c r="AD22">
        <v>5</v>
      </c>
      <c r="AE22">
        <v>6</v>
      </c>
      <c r="AF22">
        <v>3</v>
      </c>
    </row>
    <row r="23">
      <c r="A23" t="s">
        <v>53</v>
      </c>
      <c r="B23">
        <v>8</v>
      </c>
      <c r="C23">
        <v>0</v>
      </c>
      <c r="D23">
        <v>1</v>
      </c>
      <c r="E23">
        <v>8</v>
      </c>
      <c r="F23">
        <v>5</v>
      </c>
      <c r="G23">
        <v>8</v>
      </c>
      <c r="H23">
        <v>10</v>
      </c>
      <c r="I23">
        <v>3</v>
      </c>
      <c r="J23">
        <v>3</v>
      </c>
      <c r="K23">
        <v>1</v>
      </c>
      <c r="L23">
        <v>1</v>
      </c>
      <c r="M23">
        <v>5</v>
      </c>
      <c r="N23">
        <v>2</v>
      </c>
      <c r="O23">
        <v>4</v>
      </c>
      <c r="P23">
        <v>8</v>
      </c>
      <c r="Q23">
        <v>8</v>
      </c>
      <c r="R23">
        <v>2</v>
      </c>
      <c r="S23">
        <v>5</v>
      </c>
      <c r="T23">
        <v>10</v>
      </c>
      <c r="U23">
        <v>4</v>
      </c>
      <c r="V23">
        <v>3</v>
      </c>
      <c r="W23">
        <v>10</v>
      </c>
      <c r="X23">
        <v>7</v>
      </c>
      <c r="Y23">
        <v>6</v>
      </c>
      <c r="Z23">
        <v>0</v>
      </c>
      <c r="AA23">
        <v>0</v>
      </c>
      <c r="AB23">
        <v>0</v>
      </c>
      <c r="AC23">
        <v>7</v>
      </c>
      <c r="AD23">
        <v>9</v>
      </c>
      <c r="AE23">
        <v>5</v>
      </c>
      <c r="AF23">
        <v>9</v>
      </c>
    </row>
    <row r="24">
      <c r="A24" t="s">
        <v>54</v>
      </c>
      <c r="B24">
        <v>4</v>
      </c>
      <c r="C24">
        <v>5</v>
      </c>
      <c r="D24">
        <v>8</v>
      </c>
      <c r="E24">
        <v>10</v>
      </c>
      <c r="F24">
        <v>9</v>
      </c>
      <c r="G24">
        <v>0</v>
      </c>
      <c r="H24">
        <v>9</v>
      </c>
      <c r="I24">
        <v>8</v>
      </c>
      <c r="J24">
        <v>7</v>
      </c>
      <c r="K24">
        <v>10</v>
      </c>
      <c r="L24">
        <v>5</v>
      </c>
      <c r="M24">
        <v>3</v>
      </c>
      <c r="N24">
        <v>4</v>
      </c>
      <c r="O24">
        <v>5</v>
      </c>
      <c r="P24">
        <v>1</v>
      </c>
      <c r="Q24">
        <v>3</v>
      </c>
      <c r="R24">
        <v>5</v>
      </c>
      <c r="S24">
        <v>4</v>
      </c>
      <c r="T24">
        <v>4</v>
      </c>
      <c r="U24">
        <v>1</v>
      </c>
      <c r="V24">
        <v>3</v>
      </c>
      <c r="W24">
        <v>4</v>
      </c>
      <c r="X24">
        <v>4</v>
      </c>
      <c r="Y24">
        <v>0</v>
      </c>
      <c r="Z24">
        <v>6</v>
      </c>
      <c r="AA24">
        <v>6</v>
      </c>
      <c r="AB24">
        <v>2</v>
      </c>
      <c r="AC24">
        <v>8</v>
      </c>
      <c r="AD24">
        <v>0</v>
      </c>
      <c r="AE24">
        <v>7</v>
      </c>
      <c r="AF24">
        <v>2</v>
      </c>
    </row>
    <row r="25">
      <c r="A25" t="s">
        <v>55</v>
      </c>
      <c r="B25">
        <v>6</v>
      </c>
      <c r="C25">
        <v>7</v>
      </c>
      <c r="D25">
        <v>4</v>
      </c>
      <c r="E25">
        <v>8</v>
      </c>
      <c r="F25">
        <v>6</v>
      </c>
      <c r="G25">
        <v>0</v>
      </c>
      <c r="H25">
        <v>0</v>
      </c>
      <c r="I25">
        <v>6</v>
      </c>
      <c r="J25">
        <v>1</v>
      </c>
      <c r="K25">
        <v>5</v>
      </c>
      <c r="L25">
        <v>4</v>
      </c>
      <c r="M25">
        <v>7</v>
      </c>
      <c r="N25">
        <v>3</v>
      </c>
      <c r="O25">
        <v>6</v>
      </c>
      <c r="P25">
        <v>10</v>
      </c>
      <c r="Q25">
        <v>5</v>
      </c>
      <c r="R25">
        <v>9</v>
      </c>
      <c r="S25">
        <v>6</v>
      </c>
      <c r="T25">
        <v>2</v>
      </c>
      <c r="U25">
        <v>9</v>
      </c>
      <c r="V25">
        <v>0</v>
      </c>
      <c r="W25">
        <v>0</v>
      </c>
      <c r="X25">
        <v>2</v>
      </c>
      <c r="Y25">
        <v>5</v>
      </c>
      <c r="Z25">
        <v>5</v>
      </c>
      <c r="AA25">
        <v>8</v>
      </c>
      <c r="AB25">
        <v>1</v>
      </c>
      <c r="AC25">
        <v>0</v>
      </c>
      <c r="AD25">
        <v>4</v>
      </c>
      <c r="AE25">
        <v>5</v>
      </c>
      <c r="AF25">
        <v>4</v>
      </c>
    </row>
    <row r="26">
      <c r="A26" t="s">
        <v>56</v>
      </c>
      <c r="B26">
        <v>9</v>
      </c>
      <c r="C26">
        <v>10</v>
      </c>
      <c r="D26">
        <v>5</v>
      </c>
      <c r="E26">
        <v>9</v>
      </c>
      <c r="F26">
        <v>0</v>
      </c>
      <c r="G26">
        <v>4</v>
      </c>
      <c r="H26">
        <v>10</v>
      </c>
      <c r="I26">
        <v>6</v>
      </c>
      <c r="J26">
        <v>9</v>
      </c>
      <c r="K26">
        <v>7</v>
      </c>
      <c r="L26">
        <v>0</v>
      </c>
      <c r="M26">
        <v>2</v>
      </c>
      <c r="N26">
        <v>10</v>
      </c>
      <c r="O26">
        <v>4</v>
      </c>
      <c r="P26">
        <v>8</v>
      </c>
      <c r="Q26">
        <v>4</v>
      </c>
      <c r="R26">
        <v>3</v>
      </c>
      <c r="S26">
        <v>7</v>
      </c>
      <c r="T26">
        <v>10</v>
      </c>
      <c r="U26">
        <v>7</v>
      </c>
      <c r="V26">
        <v>10</v>
      </c>
      <c r="W26">
        <v>10</v>
      </c>
      <c r="X26">
        <v>8</v>
      </c>
      <c r="Y26">
        <v>8</v>
      </c>
      <c r="Z26">
        <v>3</v>
      </c>
      <c r="AA26">
        <v>3</v>
      </c>
      <c r="AB26">
        <v>7</v>
      </c>
      <c r="AC26">
        <v>5</v>
      </c>
      <c r="AD26">
        <v>7</v>
      </c>
      <c r="AE26">
        <v>2</v>
      </c>
      <c r="AF26">
        <v>9</v>
      </c>
    </row>
    <row r="27">
      <c r="A27" t="s">
        <v>57</v>
      </c>
      <c r="B27">
        <v>4</v>
      </c>
      <c r="C27">
        <v>8</v>
      </c>
      <c r="D27">
        <v>2</v>
      </c>
      <c r="E27">
        <v>1</v>
      </c>
      <c r="F27">
        <v>9</v>
      </c>
      <c r="G27">
        <v>8</v>
      </c>
      <c r="H27">
        <v>10</v>
      </c>
      <c r="I27">
        <v>3</v>
      </c>
      <c r="J27">
        <v>6</v>
      </c>
      <c r="K27">
        <v>6</v>
      </c>
      <c r="L27">
        <v>9</v>
      </c>
      <c r="M27">
        <v>6</v>
      </c>
      <c r="N27">
        <v>9</v>
      </c>
      <c r="O27">
        <v>7</v>
      </c>
      <c r="P27">
        <v>0</v>
      </c>
      <c r="Q27">
        <v>5</v>
      </c>
      <c r="R27">
        <v>9</v>
      </c>
      <c r="S27">
        <v>3</v>
      </c>
      <c r="T27">
        <v>10</v>
      </c>
      <c r="U27">
        <v>5</v>
      </c>
      <c r="V27">
        <v>5</v>
      </c>
      <c r="W27">
        <v>6</v>
      </c>
      <c r="X27">
        <v>6</v>
      </c>
      <c r="Y27">
        <v>9</v>
      </c>
      <c r="Z27">
        <v>3</v>
      </c>
      <c r="AA27">
        <v>5</v>
      </c>
      <c r="AB27">
        <v>0</v>
      </c>
      <c r="AC27">
        <v>8</v>
      </c>
      <c r="AD27">
        <v>5</v>
      </c>
      <c r="AE27">
        <v>4</v>
      </c>
      <c r="AF27">
        <v>10</v>
      </c>
    </row>
    <row r="28">
      <c r="A28" t="s">
        <v>58</v>
      </c>
      <c r="B28">
        <v>5</v>
      </c>
      <c r="C28">
        <v>8</v>
      </c>
      <c r="D28">
        <v>2</v>
      </c>
      <c r="E28">
        <v>9</v>
      </c>
      <c r="F28">
        <v>3</v>
      </c>
      <c r="G28">
        <v>7</v>
      </c>
      <c r="H28">
        <v>5</v>
      </c>
      <c r="I28">
        <v>2</v>
      </c>
      <c r="J28">
        <v>10</v>
      </c>
      <c r="K28">
        <v>2</v>
      </c>
      <c r="L28">
        <v>5</v>
      </c>
      <c r="M28">
        <v>8</v>
      </c>
      <c r="N28">
        <v>10</v>
      </c>
      <c r="O28">
        <v>8</v>
      </c>
      <c r="P28">
        <v>7</v>
      </c>
      <c r="Q28">
        <v>0</v>
      </c>
      <c r="R28">
        <v>9</v>
      </c>
      <c r="S28">
        <v>2</v>
      </c>
      <c r="T28">
        <v>4</v>
      </c>
      <c r="U28">
        <v>2</v>
      </c>
      <c r="V28">
        <v>2</v>
      </c>
      <c r="W28">
        <v>2</v>
      </c>
      <c r="X28">
        <v>5</v>
      </c>
      <c r="Y28">
        <v>7</v>
      </c>
      <c r="Z28">
        <v>9</v>
      </c>
      <c r="AA28">
        <v>4</v>
      </c>
      <c r="AB28">
        <v>5</v>
      </c>
      <c r="AC28">
        <v>2</v>
      </c>
      <c r="AD28">
        <v>3</v>
      </c>
      <c r="AE28">
        <v>3</v>
      </c>
      <c r="AF28">
        <v>4</v>
      </c>
    </row>
    <row r="29">
      <c r="A29" t="s">
        <v>59</v>
      </c>
      <c r="B29">
        <v>3</v>
      </c>
      <c r="C29">
        <v>10</v>
      </c>
      <c r="D29">
        <v>2</v>
      </c>
      <c r="E29">
        <v>3</v>
      </c>
      <c r="F29">
        <v>0</v>
      </c>
      <c r="G29">
        <v>10</v>
      </c>
      <c r="H29">
        <v>5</v>
      </c>
      <c r="I29">
        <v>0</v>
      </c>
      <c r="J29">
        <v>3</v>
      </c>
      <c r="K29">
        <v>7</v>
      </c>
      <c r="L29">
        <v>8</v>
      </c>
      <c r="M29">
        <v>5</v>
      </c>
      <c r="N29">
        <v>8</v>
      </c>
      <c r="O29">
        <v>5</v>
      </c>
      <c r="P29">
        <v>6</v>
      </c>
      <c r="Q29">
        <v>9</v>
      </c>
      <c r="R29">
        <v>1</v>
      </c>
      <c r="S29">
        <v>9</v>
      </c>
      <c r="T29">
        <v>3</v>
      </c>
      <c r="U29">
        <v>7</v>
      </c>
      <c r="V29">
        <v>4</v>
      </c>
      <c r="W29">
        <v>3</v>
      </c>
      <c r="X29">
        <v>5</v>
      </c>
      <c r="Y29">
        <v>4</v>
      </c>
      <c r="Z29">
        <v>1</v>
      </c>
      <c r="AA29">
        <v>7</v>
      </c>
      <c r="AB29">
        <v>9</v>
      </c>
      <c r="AC29">
        <v>3</v>
      </c>
      <c r="AD29">
        <v>7</v>
      </c>
      <c r="AE29">
        <v>8</v>
      </c>
      <c r="AF29">
        <v>10</v>
      </c>
    </row>
    <row r="30">
      <c r="A30" t="s">
        <v>60</v>
      </c>
      <c r="B30">
        <v>8</v>
      </c>
      <c r="C30">
        <v>2</v>
      </c>
      <c r="D30">
        <v>5</v>
      </c>
      <c r="E30">
        <v>0</v>
      </c>
      <c r="F30">
        <v>1</v>
      </c>
      <c r="G30">
        <v>0</v>
      </c>
      <c r="H30">
        <v>0</v>
      </c>
      <c r="I30">
        <v>0</v>
      </c>
      <c r="J30">
        <v>7</v>
      </c>
      <c r="K30">
        <v>0</v>
      </c>
      <c r="L30">
        <v>7</v>
      </c>
      <c r="M30">
        <v>8</v>
      </c>
      <c r="N30">
        <v>10</v>
      </c>
      <c r="O30">
        <v>10</v>
      </c>
      <c r="P30">
        <v>3</v>
      </c>
      <c r="Q30">
        <v>4</v>
      </c>
      <c r="R30">
        <v>5</v>
      </c>
      <c r="S30">
        <v>10</v>
      </c>
      <c r="T30">
        <v>4</v>
      </c>
      <c r="U30">
        <v>8</v>
      </c>
      <c r="V30">
        <v>5</v>
      </c>
      <c r="W30">
        <v>1</v>
      </c>
      <c r="X30">
        <v>2</v>
      </c>
      <c r="Y30">
        <v>5</v>
      </c>
      <c r="Z30">
        <v>8</v>
      </c>
      <c r="AA30">
        <v>4</v>
      </c>
      <c r="AB30">
        <v>7</v>
      </c>
      <c r="AC30">
        <v>6</v>
      </c>
      <c r="AD30">
        <v>9</v>
      </c>
      <c r="AE30">
        <v>3</v>
      </c>
      <c r="AF30">
        <v>6</v>
      </c>
    </row>
    <row r="31">
      <c r="A31" t="s">
        <v>61</v>
      </c>
      <c r="B31">
        <v>0</v>
      </c>
      <c r="C31">
        <v>0</v>
      </c>
      <c r="D31">
        <v>6</v>
      </c>
      <c r="E31">
        <v>8</v>
      </c>
      <c r="F31">
        <v>6</v>
      </c>
      <c r="G31">
        <v>7</v>
      </c>
      <c r="H31">
        <v>8</v>
      </c>
      <c r="I31">
        <v>7</v>
      </c>
      <c r="J31">
        <v>6</v>
      </c>
      <c r="K31">
        <v>7</v>
      </c>
      <c r="L31">
        <v>10</v>
      </c>
      <c r="M31">
        <v>4</v>
      </c>
      <c r="N31">
        <v>6</v>
      </c>
      <c r="O31">
        <v>6</v>
      </c>
      <c r="P31">
        <v>4</v>
      </c>
      <c r="Q31">
        <v>9</v>
      </c>
      <c r="R31">
        <v>9</v>
      </c>
      <c r="S31">
        <v>0</v>
      </c>
      <c r="T31">
        <v>10</v>
      </c>
      <c r="U31">
        <v>0</v>
      </c>
      <c r="V31">
        <v>0</v>
      </c>
      <c r="W31">
        <v>5</v>
      </c>
      <c r="X31">
        <v>1</v>
      </c>
      <c r="Y31">
        <v>9</v>
      </c>
      <c r="Z31">
        <v>3</v>
      </c>
      <c r="AA31">
        <v>8</v>
      </c>
      <c r="AB31">
        <v>7</v>
      </c>
      <c r="AC31">
        <v>10</v>
      </c>
      <c r="AD31">
        <v>5</v>
      </c>
      <c r="AE31">
        <v>0</v>
      </c>
      <c r="AF31">
        <v>9</v>
      </c>
    </row>
    <row r="32">
      <c r="A32" t="s">
        <v>62</v>
      </c>
      <c r="B32">
        <v>0</v>
      </c>
      <c r="C32">
        <v>9</v>
      </c>
      <c r="D32">
        <v>1</v>
      </c>
      <c r="E32">
        <v>2</v>
      </c>
      <c r="F32">
        <v>0</v>
      </c>
      <c r="G32">
        <v>1</v>
      </c>
      <c r="H32">
        <v>4</v>
      </c>
      <c r="I32">
        <v>8</v>
      </c>
      <c r="J32">
        <v>1</v>
      </c>
      <c r="K32">
        <v>3</v>
      </c>
      <c r="L32">
        <v>4</v>
      </c>
      <c r="M32">
        <v>2</v>
      </c>
      <c r="N32">
        <v>0</v>
      </c>
      <c r="O32">
        <v>4</v>
      </c>
      <c r="P32">
        <v>6</v>
      </c>
      <c r="Q32">
        <v>5</v>
      </c>
      <c r="R32">
        <v>10</v>
      </c>
      <c r="S32">
        <v>6</v>
      </c>
      <c r="T32">
        <v>3</v>
      </c>
      <c r="U32">
        <v>4</v>
      </c>
      <c r="V32">
        <v>7</v>
      </c>
      <c r="W32">
        <v>2</v>
      </c>
      <c r="X32">
        <v>4</v>
      </c>
      <c r="Y32">
        <v>3</v>
      </c>
      <c r="Z32">
        <v>8</v>
      </c>
      <c r="AA32">
        <v>7</v>
      </c>
      <c r="AB32">
        <v>7</v>
      </c>
      <c r="AC32">
        <v>0</v>
      </c>
      <c r="AD32">
        <v>1</v>
      </c>
      <c r="AE32">
        <v>10</v>
      </c>
      <c r="AF32">
        <v>10</v>
      </c>
    </row>
    <row r="33">
      <c r="A33" t="s">
        <v>63</v>
      </c>
      <c r="B33">
        <v>6</v>
      </c>
      <c r="C33">
        <v>1</v>
      </c>
      <c r="D33">
        <v>9</v>
      </c>
      <c r="E33">
        <v>8</v>
      </c>
      <c r="F33">
        <v>6</v>
      </c>
      <c r="G33">
        <v>9</v>
      </c>
      <c r="H33">
        <v>0</v>
      </c>
      <c r="I33">
        <v>9</v>
      </c>
      <c r="J33">
        <v>8</v>
      </c>
      <c r="K33">
        <v>2</v>
      </c>
      <c r="L33">
        <v>10</v>
      </c>
      <c r="M33">
        <v>1</v>
      </c>
      <c r="N33">
        <v>8</v>
      </c>
      <c r="O33">
        <v>4</v>
      </c>
      <c r="P33">
        <v>1</v>
      </c>
      <c r="Q33">
        <v>2</v>
      </c>
      <c r="R33">
        <v>3</v>
      </c>
      <c r="S33">
        <v>3</v>
      </c>
      <c r="T33">
        <v>3</v>
      </c>
      <c r="U33">
        <v>2</v>
      </c>
      <c r="V33">
        <v>5</v>
      </c>
      <c r="W33">
        <v>2</v>
      </c>
      <c r="X33">
        <v>3</v>
      </c>
      <c r="Y33">
        <v>2</v>
      </c>
      <c r="Z33">
        <v>7</v>
      </c>
      <c r="AA33">
        <v>8</v>
      </c>
      <c r="AB33">
        <v>8</v>
      </c>
      <c r="AC33">
        <v>1</v>
      </c>
      <c r="AD33">
        <v>6</v>
      </c>
      <c r="AE33">
        <v>0</v>
      </c>
      <c r="AF33">
        <v>0</v>
      </c>
    </row>
    <row r="34">
      <c r="A34" t="s">
        <v>64</v>
      </c>
      <c r="B34">
        <v>6</v>
      </c>
      <c r="C34">
        <v>0</v>
      </c>
      <c r="D34">
        <v>2</v>
      </c>
      <c r="E34">
        <v>4</v>
      </c>
      <c r="F34">
        <v>0</v>
      </c>
      <c r="G34">
        <v>10</v>
      </c>
      <c r="H34">
        <v>5</v>
      </c>
      <c r="I34">
        <v>2</v>
      </c>
      <c r="J34">
        <v>10</v>
      </c>
      <c r="K34">
        <v>7</v>
      </c>
      <c r="L34">
        <v>6</v>
      </c>
      <c r="M34">
        <v>6</v>
      </c>
      <c r="N34">
        <v>1</v>
      </c>
      <c r="O34">
        <v>3</v>
      </c>
      <c r="P34">
        <v>10</v>
      </c>
      <c r="Q34">
        <v>7</v>
      </c>
      <c r="R34">
        <v>3</v>
      </c>
      <c r="S34">
        <v>10</v>
      </c>
      <c r="T34">
        <v>4</v>
      </c>
      <c r="U34">
        <v>9</v>
      </c>
      <c r="V34">
        <v>9</v>
      </c>
      <c r="W34">
        <v>5</v>
      </c>
      <c r="X34">
        <v>9</v>
      </c>
      <c r="Y34">
        <v>5</v>
      </c>
      <c r="Z34">
        <v>9</v>
      </c>
      <c r="AA34">
        <v>1</v>
      </c>
      <c r="AB34">
        <v>4</v>
      </c>
      <c r="AC34">
        <v>3</v>
      </c>
      <c r="AD34">
        <v>1</v>
      </c>
      <c r="AE34">
        <v>1</v>
      </c>
      <c r="AF34">
        <v>1</v>
      </c>
    </row>
    <row r="35">
      <c r="A35" t="s">
        <v>65</v>
      </c>
      <c r="B35">
        <v>9</v>
      </c>
      <c r="C35">
        <v>4</v>
      </c>
      <c r="D35">
        <v>5</v>
      </c>
      <c r="E35">
        <v>10</v>
      </c>
      <c r="F35">
        <v>9</v>
      </c>
      <c r="G35">
        <v>5</v>
      </c>
      <c r="H35">
        <v>6</v>
      </c>
      <c r="I35">
        <v>1</v>
      </c>
      <c r="J35">
        <v>6</v>
      </c>
      <c r="K35">
        <v>2</v>
      </c>
      <c r="L35">
        <v>5</v>
      </c>
      <c r="M35">
        <v>8</v>
      </c>
      <c r="N35">
        <v>8</v>
      </c>
      <c r="O35">
        <v>2</v>
      </c>
      <c r="P35">
        <v>7</v>
      </c>
      <c r="Q35">
        <v>1</v>
      </c>
      <c r="R35">
        <v>3</v>
      </c>
      <c r="S35">
        <v>4</v>
      </c>
      <c r="T35">
        <v>8</v>
      </c>
      <c r="U35">
        <v>7</v>
      </c>
      <c r="V35">
        <v>4</v>
      </c>
      <c r="W35">
        <v>4</v>
      </c>
      <c r="X35">
        <v>4</v>
      </c>
      <c r="Y35">
        <v>4</v>
      </c>
      <c r="Z35">
        <v>2</v>
      </c>
      <c r="AA35">
        <v>5</v>
      </c>
      <c r="AB35">
        <v>9</v>
      </c>
      <c r="AC35">
        <v>9</v>
      </c>
      <c r="AD35">
        <v>2</v>
      </c>
      <c r="AE35">
        <v>1</v>
      </c>
      <c r="AF35">
        <v>2</v>
      </c>
    </row>
    <row r="36">
      <c r="A36" t="s">
        <v>66</v>
      </c>
      <c r="B36">
        <v>4</v>
      </c>
      <c r="C36">
        <v>7</v>
      </c>
      <c r="D36">
        <v>2</v>
      </c>
      <c r="E36">
        <v>3</v>
      </c>
      <c r="F36">
        <v>5</v>
      </c>
      <c r="G36">
        <v>6</v>
      </c>
      <c r="H36">
        <v>4</v>
      </c>
      <c r="I36">
        <v>1</v>
      </c>
      <c r="J36">
        <v>10</v>
      </c>
      <c r="K36">
        <v>2</v>
      </c>
      <c r="L36">
        <v>9</v>
      </c>
      <c r="M36">
        <v>5</v>
      </c>
      <c r="N36">
        <v>4</v>
      </c>
      <c r="O36">
        <v>8</v>
      </c>
      <c r="P36">
        <v>6</v>
      </c>
      <c r="Q36">
        <v>9</v>
      </c>
      <c r="R36">
        <v>4</v>
      </c>
      <c r="S36">
        <v>7</v>
      </c>
      <c r="T36">
        <v>6</v>
      </c>
      <c r="U36">
        <v>5</v>
      </c>
      <c r="V36">
        <v>1</v>
      </c>
      <c r="W36">
        <v>10</v>
      </c>
      <c r="X36">
        <v>9</v>
      </c>
      <c r="Y36">
        <v>6</v>
      </c>
      <c r="Z36">
        <v>3</v>
      </c>
      <c r="AA36">
        <v>1</v>
      </c>
      <c r="AB36">
        <v>6</v>
      </c>
      <c r="AC36">
        <v>8</v>
      </c>
      <c r="AD36">
        <v>2</v>
      </c>
      <c r="AE36">
        <v>7</v>
      </c>
      <c r="AF36">
        <v>5</v>
      </c>
    </row>
    <row r="37">
      <c r="A37" t="s">
        <v>67</v>
      </c>
      <c r="B37">
        <v>4</v>
      </c>
      <c r="C37">
        <v>6</v>
      </c>
      <c r="D37">
        <v>7</v>
      </c>
      <c r="E37">
        <v>1</v>
      </c>
      <c r="F37">
        <v>2</v>
      </c>
      <c r="G37">
        <v>6</v>
      </c>
      <c r="H37">
        <v>7</v>
      </c>
      <c r="I37">
        <v>0</v>
      </c>
      <c r="J37">
        <v>6</v>
      </c>
      <c r="K37">
        <v>5</v>
      </c>
      <c r="L37">
        <v>6</v>
      </c>
      <c r="M37">
        <v>6</v>
      </c>
      <c r="N37">
        <v>10</v>
      </c>
      <c r="O37">
        <v>2</v>
      </c>
      <c r="P37">
        <v>1</v>
      </c>
      <c r="Q37">
        <v>7</v>
      </c>
      <c r="R37">
        <v>6</v>
      </c>
      <c r="S37">
        <v>9</v>
      </c>
      <c r="T37">
        <v>8</v>
      </c>
      <c r="U37">
        <v>1</v>
      </c>
      <c r="V37">
        <v>7</v>
      </c>
      <c r="W37">
        <v>10</v>
      </c>
      <c r="X37">
        <v>4</v>
      </c>
      <c r="Y37">
        <v>6</v>
      </c>
      <c r="Z37">
        <v>10</v>
      </c>
      <c r="AA37">
        <v>1</v>
      </c>
      <c r="AB37">
        <v>8</v>
      </c>
      <c r="AC37">
        <v>0</v>
      </c>
      <c r="AD37">
        <v>2</v>
      </c>
      <c r="AE37">
        <v>10</v>
      </c>
      <c r="AF37">
        <v>0</v>
      </c>
    </row>
    <row r="38">
      <c r="A38" t="s">
        <v>68</v>
      </c>
      <c r="B38">
        <v>4</v>
      </c>
      <c r="C38">
        <v>9</v>
      </c>
      <c r="D38">
        <v>1</v>
      </c>
      <c r="E38">
        <v>4</v>
      </c>
      <c r="F38">
        <v>9</v>
      </c>
      <c r="G38">
        <v>4</v>
      </c>
      <c r="H38">
        <v>9</v>
      </c>
      <c r="I38">
        <v>0</v>
      </c>
      <c r="J38">
        <v>2</v>
      </c>
      <c r="K38">
        <v>7</v>
      </c>
      <c r="L38">
        <v>5</v>
      </c>
      <c r="M38">
        <v>4</v>
      </c>
      <c r="N38">
        <v>1</v>
      </c>
      <c r="O38">
        <v>5</v>
      </c>
      <c r="P38">
        <v>3</v>
      </c>
      <c r="Q38">
        <v>6</v>
      </c>
      <c r="R38">
        <v>4</v>
      </c>
      <c r="S38">
        <v>1</v>
      </c>
      <c r="T38">
        <v>7</v>
      </c>
      <c r="U38">
        <v>9</v>
      </c>
      <c r="V38">
        <v>1</v>
      </c>
      <c r="W38">
        <v>5</v>
      </c>
      <c r="X38">
        <v>4</v>
      </c>
      <c r="Y38">
        <v>4</v>
      </c>
      <c r="Z38">
        <v>10</v>
      </c>
      <c r="AA38">
        <v>5</v>
      </c>
      <c r="AB38">
        <v>4</v>
      </c>
      <c r="AC38">
        <v>0</v>
      </c>
      <c r="AD38">
        <v>9</v>
      </c>
      <c r="AE38">
        <v>10</v>
      </c>
      <c r="AF38">
        <v>5</v>
      </c>
    </row>
    <row r="39">
      <c r="A39" t="s">
        <v>69</v>
      </c>
      <c r="B39">
        <v>5</v>
      </c>
      <c r="C39">
        <v>5</v>
      </c>
      <c r="D39">
        <v>4</v>
      </c>
      <c r="E39">
        <v>10</v>
      </c>
      <c r="F39">
        <v>1</v>
      </c>
      <c r="G39">
        <v>9</v>
      </c>
      <c r="H39">
        <v>1</v>
      </c>
      <c r="I39">
        <v>0</v>
      </c>
      <c r="J39">
        <v>9</v>
      </c>
      <c r="K39">
        <v>0</v>
      </c>
      <c r="L39">
        <v>8</v>
      </c>
      <c r="M39">
        <v>2</v>
      </c>
      <c r="N39">
        <v>8</v>
      </c>
      <c r="O39">
        <v>5</v>
      </c>
      <c r="P39">
        <v>10</v>
      </c>
      <c r="Q39">
        <v>0</v>
      </c>
      <c r="R39">
        <v>1</v>
      </c>
      <c r="S39">
        <v>7</v>
      </c>
      <c r="T39">
        <v>10</v>
      </c>
      <c r="U39">
        <v>1</v>
      </c>
      <c r="V39">
        <v>0</v>
      </c>
      <c r="W39">
        <v>0</v>
      </c>
      <c r="X39">
        <v>3</v>
      </c>
      <c r="Y39">
        <v>9</v>
      </c>
      <c r="Z39">
        <v>9</v>
      </c>
      <c r="AA39">
        <v>7</v>
      </c>
      <c r="AB39">
        <v>0</v>
      </c>
      <c r="AC39">
        <v>7</v>
      </c>
      <c r="AD39">
        <v>2</v>
      </c>
      <c r="AE39">
        <v>1</v>
      </c>
      <c r="AF39">
        <v>8</v>
      </c>
    </row>
    <row r="40">
      <c r="A40" t="s">
        <v>70</v>
      </c>
      <c r="B40">
        <v>4</v>
      </c>
      <c r="C40">
        <v>6</v>
      </c>
      <c r="D40">
        <v>1</v>
      </c>
      <c r="E40">
        <v>1</v>
      </c>
      <c r="F40">
        <v>2</v>
      </c>
      <c r="G40">
        <v>4</v>
      </c>
      <c r="H40">
        <v>1</v>
      </c>
      <c r="I40">
        <v>9</v>
      </c>
      <c r="J40">
        <v>2</v>
      </c>
      <c r="K40">
        <v>3</v>
      </c>
      <c r="L40">
        <v>0</v>
      </c>
      <c r="M40">
        <v>8</v>
      </c>
      <c r="N40">
        <v>8</v>
      </c>
      <c r="O40">
        <v>1</v>
      </c>
      <c r="P40">
        <v>1</v>
      </c>
      <c r="Q40">
        <v>0</v>
      </c>
      <c r="R40">
        <v>9</v>
      </c>
      <c r="S40">
        <v>4</v>
      </c>
      <c r="T40">
        <v>6</v>
      </c>
      <c r="U40">
        <v>3</v>
      </c>
      <c r="V40">
        <v>1</v>
      </c>
      <c r="W40">
        <v>9</v>
      </c>
      <c r="X40">
        <v>7</v>
      </c>
      <c r="Y40">
        <v>4</v>
      </c>
      <c r="Z40">
        <v>0</v>
      </c>
      <c r="AA40">
        <v>10</v>
      </c>
      <c r="AB40">
        <v>8</v>
      </c>
      <c r="AC40">
        <v>7</v>
      </c>
      <c r="AD40">
        <v>10</v>
      </c>
      <c r="AE40">
        <v>4</v>
      </c>
      <c r="AF40">
        <v>6</v>
      </c>
    </row>
    <row r="41">
      <c r="A41" t="s">
        <v>71</v>
      </c>
      <c r="B41">
        <v>8</v>
      </c>
      <c r="C41">
        <v>5</v>
      </c>
      <c r="D41">
        <v>2</v>
      </c>
      <c r="E41">
        <v>6</v>
      </c>
      <c r="F41">
        <v>4</v>
      </c>
      <c r="G41">
        <v>7</v>
      </c>
      <c r="H41">
        <v>1</v>
      </c>
      <c r="I41">
        <v>7</v>
      </c>
      <c r="J41">
        <v>2</v>
      </c>
      <c r="K41">
        <v>8</v>
      </c>
      <c r="L41">
        <v>4</v>
      </c>
      <c r="M41">
        <v>8</v>
      </c>
      <c r="N41">
        <v>6</v>
      </c>
      <c r="O41">
        <v>1</v>
      </c>
      <c r="P41">
        <v>10</v>
      </c>
      <c r="Q41">
        <v>10</v>
      </c>
      <c r="R41">
        <v>0</v>
      </c>
      <c r="S41">
        <v>2</v>
      </c>
      <c r="T41">
        <v>1</v>
      </c>
      <c r="U41">
        <v>9</v>
      </c>
      <c r="V41">
        <v>10</v>
      </c>
      <c r="W41">
        <v>0</v>
      </c>
      <c r="X41">
        <v>3</v>
      </c>
      <c r="Y41">
        <v>2</v>
      </c>
      <c r="Z41">
        <v>5</v>
      </c>
      <c r="AA41">
        <v>4</v>
      </c>
      <c r="AB41">
        <v>1</v>
      </c>
      <c r="AC41">
        <v>10</v>
      </c>
      <c r="AD41">
        <v>1</v>
      </c>
      <c r="AE41">
        <v>0</v>
      </c>
      <c r="AF41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>
      <selection activeCell="A1" sqref="A1"/>
    </sheetView>
  </sheetViews>
  <sheetData>
    <row r="1">
      <c r="A1" t="s">
        <v>0</v>
      </c>
      <c r="B1" t="s">
        <v>72</v>
      </c>
    </row>
    <row r="2">
      <c r="A2" t="s">
        <v>32</v>
      </c>
      <c r="B2">
        <v>16</v>
      </c>
    </row>
    <row r="3">
      <c r="A3" t="s">
        <v>33</v>
      </c>
      <c r="B3">
        <v>44</v>
      </c>
    </row>
    <row r="4">
      <c r="A4" t="s">
        <v>34</v>
      </c>
      <c r="B4">
        <v>44</v>
      </c>
    </row>
    <row r="5">
      <c r="A5" t="s">
        <v>35</v>
      </c>
      <c r="B5">
        <v>21</v>
      </c>
    </row>
    <row r="6">
      <c r="A6" t="s">
        <v>36</v>
      </c>
      <c r="B6">
        <v>32</v>
      </c>
    </row>
    <row r="7">
      <c r="A7" t="s">
        <v>37</v>
      </c>
      <c r="B7">
        <v>20</v>
      </c>
    </row>
    <row r="8">
      <c r="A8" t="s">
        <v>38</v>
      </c>
      <c r="B8">
        <v>19</v>
      </c>
    </row>
    <row r="9">
      <c r="A9" t="s">
        <v>39</v>
      </c>
      <c r="B9">
        <v>19</v>
      </c>
    </row>
    <row r="10">
      <c r="A10" t="s">
        <v>40</v>
      </c>
      <c r="B10">
        <v>34</v>
      </c>
    </row>
    <row r="11">
      <c r="A11" t="s">
        <v>41</v>
      </c>
      <c r="B11">
        <v>39</v>
      </c>
    </row>
    <row r="12">
      <c r="A12" t="s">
        <v>42</v>
      </c>
      <c r="B12">
        <v>18</v>
      </c>
    </row>
    <row r="13">
      <c r="A13" t="s">
        <v>43</v>
      </c>
      <c r="B13">
        <v>37</v>
      </c>
    </row>
    <row r="14">
      <c r="A14" t="s">
        <v>44</v>
      </c>
      <c r="B14">
        <v>42</v>
      </c>
    </row>
    <row r="15">
      <c r="A15" t="s">
        <v>45</v>
      </c>
      <c r="B15">
        <v>26</v>
      </c>
    </row>
    <row r="16">
      <c r="A16" t="s">
        <v>46</v>
      </c>
      <c r="B16">
        <v>25</v>
      </c>
    </row>
    <row r="17">
      <c r="A17" t="s">
        <v>47</v>
      </c>
      <c r="B17">
        <v>27</v>
      </c>
    </row>
    <row r="18">
      <c r="A18" t="s">
        <v>48</v>
      </c>
      <c r="B18">
        <v>28</v>
      </c>
    </row>
    <row r="19">
      <c r="A19" t="s">
        <v>49</v>
      </c>
      <c r="B19">
        <v>44</v>
      </c>
    </row>
    <row r="20">
      <c r="A20" t="s">
        <v>50</v>
      </c>
      <c r="B20">
        <v>21</v>
      </c>
    </row>
    <row r="21">
      <c r="A21" t="s">
        <v>51</v>
      </c>
      <c r="B21">
        <v>22</v>
      </c>
    </row>
    <row r="22">
      <c r="A22" t="s">
        <v>52</v>
      </c>
      <c r="B22">
        <v>15</v>
      </c>
    </row>
    <row r="23">
      <c r="A23" t="s">
        <v>53</v>
      </c>
      <c r="B23">
        <v>18</v>
      </c>
    </row>
    <row r="24">
      <c r="A24" t="s">
        <v>54</v>
      </c>
      <c r="B24">
        <v>23</v>
      </c>
    </row>
    <row r="25">
      <c r="A25" t="s">
        <v>55</v>
      </c>
      <c r="B25">
        <v>22</v>
      </c>
    </row>
    <row r="26">
      <c r="A26" t="s">
        <v>56</v>
      </c>
      <c r="B26">
        <v>42</v>
      </c>
    </row>
    <row r="27">
      <c r="A27" t="s">
        <v>57</v>
      </c>
      <c r="B27">
        <v>18</v>
      </c>
    </row>
    <row r="28">
      <c r="A28" t="s">
        <v>59</v>
      </c>
      <c r="B28">
        <v>15</v>
      </c>
    </row>
    <row r="29">
      <c r="A29" t="s">
        <v>60</v>
      </c>
      <c r="B29">
        <v>36</v>
      </c>
    </row>
    <row r="30">
      <c r="A30" t="s">
        <v>61</v>
      </c>
      <c r="B30">
        <v>25</v>
      </c>
    </row>
    <row r="31">
      <c r="A31" t="s">
        <v>62</v>
      </c>
      <c r="B31">
        <v>40</v>
      </c>
    </row>
    <row r="32">
      <c r="A32" t="s">
        <v>63</v>
      </c>
      <c r="B32">
        <v>45</v>
      </c>
    </row>
    <row r="33">
      <c r="A33" t="s">
        <v>64</v>
      </c>
      <c r="B33">
        <v>38</v>
      </c>
    </row>
    <row r="34">
      <c r="A34" t="s">
        <v>65</v>
      </c>
      <c r="B34">
        <v>29</v>
      </c>
    </row>
    <row r="35">
      <c r="A35" t="s">
        <v>66</v>
      </c>
      <c r="B35">
        <v>16</v>
      </c>
    </row>
    <row r="36">
      <c r="A36" t="s">
        <v>67</v>
      </c>
      <c r="B36">
        <v>26</v>
      </c>
    </row>
    <row r="37">
      <c r="A37" t="s">
        <v>68</v>
      </c>
      <c r="B37">
        <v>32</v>
      </c>
    </row>
    <row r="38">
      <c r="A38" t="s">
        <v>69</v>
      </c>
      <c r="B38">
        <v>34</v>
      </c>
    </row>
    <row r="39">
      <c r="A39" t="s">
        <v>70</v>
      </c>
      <c r="B39">
        <v>19</v>
      </c>
    </row>
    <row r="40">
      <c r="A40" t="s">
        <v>71</v>
      </c>
      <c r="B40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activeCell="A1" sqref="A1"/>
    </sheetView>
  </sheetViews>
  <sheetData>
    <row r="1">
      <c r="A1" t="s">
        <v>0</v>
      </c>
      <c r="B1" t="s">
        <v>73</v>
      </c>
      <c r="C1" t="s">
        <v>74</v>
      </c>
      <c r="D1" t="s">
        <v>75</v>
      </c>
      <c r="E1" t="s">
        <v>72</v>
      </c>
      <c r="F1" t="s">
        <v>76</v>
      </c>
      <c r="G1" t="s">
        <v>77</v>
      </c>
      <c r="H1" t="s">
        <v>78</v>
      </c>
    </row>
    <row r="2">
      <c r="A2" t="s">
        <v>32</v>
      </c>
      <c r="B2">
        <f>SUM(Attendance!B2:AF2)</f>
        <v>174</v>
      </c>
      <c r="C2">
        <f>MIN(B2,160)</f>
        <v>160</v>
      </c>
      <c r="D2">
        <f>MAX(B2-160,0)</f>
        <v>14</v>
      </c>
      <c r="E2">
        <f>VLOOKUP(A2,Rates!$A$2:$B$40,2,FALSE)</f>
        <v>16</v>
      </c>
      <c r="F2">
        <f>C2*E2</f>
        <v>2560</v>
      </c>
      <c r="G2">
        <f>IF(D2&gt;0,D2*E2*1.5,0)</f>
        <v>336</v>
      </c>
      <c r="H2">
        <f>F2+G2</f>
        <v>2896</v>
      </c>
    </row>
    <row r="3">
      <c r="A3" t="s">
        <v>33</v>
      </c>
      <c r="B3">
        <f>SUM(Attendance!B3:AF3)</f>
        <v>163</v>
      </c>
      <c r="C3">
        <f>MIN(B3,160)</f>
        <v>160</v>
      </c>
      <c r="D3">
        <f>MAX(B3-160,0)</f>
        <v>3</v>
      </c>
      <c r="E3">
        <f>VLOOKUP(A3,Rates!$A$2:$B$40,2,FALSE)</f>
        <v>44</v>
      </c>
      <c r="F3">
        <f>C3*E3</f>
        <v>7040</v>
      </c>
      <c r="G3">
        <f>IF(D3&gt;0,D3*E3*1.5,0)</f>
        <v>198</v>
      </c>
      <c r="H3">
        <f>F3+G3</f>
        <v>7238</v>
      </c>
    </row>
    <row r="4">
      <c r="A4" t="s">
        <v>34</v>
      </c>
      <c r="B4">
        <f>SUM(Attendance!B4:AF4)</f>
        <v>141</v>
      </c>
      <c r="C4">
        <f>MIN(B4,160)</f>
        <v>141</v>
      </c>
      <c r="D4">
        <f>MAX(B4-160,0)</f>
        <v>0</v>
      </c>
      <c r="E4">
        <f>VLOOKUP(A4,Rates!$A$2:$B$40,2,FALSE)</f>
        <v>44</v>
      </c>
      <c r="F4">
        <f>C4*E4</f>
        <v>6204</v>
      </c>
      <c r="G4">
        <f>IF(D4&gt;0,D4*E4*1.5,0)</f>
        <v>0</v>
      </c>
      <c r="H4">
        <f>F4+G4</f>
        <v>6204</v>
      </c>
    </row>
    <row r="5">
      <c r="A5" t="s">
        <v>35</v>
      </c>
      <c r="B5">
        <f>SUM(Attendance!B5:AF5)</f>
        <v>147</v>
      </c>
      <c r="C5">
        <f>MIN(B5,160)</f>
        <v>147</v>
      </c>
      <c r="D5">
        <f>MAX(B5-160,0)</f>
        <v>0</v>
      </c>
      <c r="E5">
        <f>VLOOKUP(A5,Rates!$A$2:$B$40,2,FALSE)</f>
        <v>21</v>
      </c>
      <c r="F5">
        <f>C5*E5</f>
        <v>3087</v>
      </c>
      <c r="G5">
        <f>IF(D5&gt;0,D5*E5*1.5,0)</f>
        <v>0</v>
      </c>
      <c r="H5">
        <f>F5+G5</f>
        <v>3087</v>
      </c>
    </row>
    <row r="6">
      <c r="A6" t="s">
        <v>36</v>
      </c>
      <c r="B6">
        <f>SUM(Attendance!B6:AF6)</f>
        <v>167</v>
      </c>
      <c r="C6">
        <f>MIN(B6,160)</f>
        <v>160</v>
      </c>
      <c r="D6">
        <f>MAX(B6-160,0)</f>
        <v>7</v>
      </c>
      <c r="E6">
        <f>VLOOKUP(A6,Rates!$A$2:$B$40,2,FALSE)</f>
        <v>32</v>
      </c>
      <c r="F6">
        <f>C6*E6</f>
        <v>5120</v>
      </c>
      <c r="G6">
        <f>IF(D6&gt;0,D6*E6*1.5,0)</f>
        <v>336</v>
      </c>
      <c r="H6">
        <f>F6+G6</f>
        <v>5456</v>
      </c>
    </row>
    <row r="7">
      <c r="A7" t="s">
        <v>37</v>
      </c>
      <c r="B7">
        <f>SUM(Attendance!B7:AF7)</f>
        <v>138</v>
      </c>
      <c r="C7">
        <f>MIN(B7,160)</f>
        <v>138</v>
      </c>
      <c r="D7">
        <f>MAX(B7-160,0)</f>
        <v>0</v>
      </c>
      <c r="E7">
        <f>VLOOKUP(A7,Rates!$A$2:$B$40,2,FALSE)</f>
        <v>20</v>
      </c>
      <c r="F7">
        <f>C7*E7</f>
        <v>2760</v>
      </c>
      <c r="G7">
        <f>IF(D7&gt;0,D7*E7*1.5,0)</f>
        <v>0</v>
      </c>
      <c r="H7">
        <f>F7+G7</f>
        <v>2760</v>
      </c>
    </row>
    <row r="8">
      <c r="A8" t="s">
        <v>38</v>
      </c>
      <c r="B8">
        <f>SUM(Attendance!B8:AF8)</f>
        <v>169</v>
      </c>
      <c r="C8">
        <f>MIN(B8,160)</f>
        <v>160</v>
      </c>
      <c r="D8">
        <f>MAX(B8-160,0)</f>
        <v>9</v>
      </c>
      <c r="E8">
        <f>VLOOKUP(A8,Rates!$A$2:$B$40,2,FALSE)</f>
        <v>19</v>
      </c>
      <c r="F8">
        <f>C8*E8</f>
        <v>3040</v>
      </c>
      <c r="G8">
        <f>IF(D8&gt;0,D8*E8*1.5,0)</f>
        <v>256.5</v>
      </c>
      <c r="H8">
        <f>F8+G8</f>
        <v>3296.5</v>
      </c>
    </row>
    <row r="9">
      <c r="A9" t="s">
        <v>39</v>
      </c>
      <c r="B9">
        <f>SUM(Attendance!B9:AF9)</f>
        <v>147</v>
      </c>
      <c r="C9">
        <f>MIN(B9,160)</f>
        <v>147</v>
      </c>
      <c r="D9">
        <f>MAX(B9-160,0)</f>
        <v>0</v>
      </c>
      <c r="E9">
        <f>VLOOKUP(A9,Rates!$A$2:$B$40,2,FALSE)</f>
        <v>19</v>
      </c>
      <c r="F9">
        <f>C9*E9</f>
        <v>2793</v>
      </c>
      <c r="G9">
        <f>IF(D9&gt;0,D9*E9*1.5,0)</f>
        <v>0</v>
      </c>
      <c r="H9">
        <f>F9+G9</f>
        <v>2793</v>
      </c>
    </row>
    <row r="10">
      <c r="A10" t="s">
        <v>40</v>
      </c>
      <c r="B10">
        <f>SUM(Attendance!B10:AF10)</f>
        <v>118</v>
      </c>
      <c r="C10">
        <f>MIN(B10,160)</f>
        <v>118</v>
      </c>
      <c r="D10">
        <f>MAX(B10-160,0)</f>
        <v>0</v>
      </c>
      <c r="E10">
        <f>VLOOKUP(A10,Rates!$A$2:$B$40,2,FALSE)</f>
        <v>34</v>
      </c>
      <c r="F10">
        <f>C10*E10</f>
        <v>4012</v>
      </c>
      <c r="G10">
        <f>IF(D10&gt;0,D10*E10*1.5,0)</f>
        <v>0</v>
      </c>
      <c r="H10">
        <f>F10+G10</f>
        <v>4012</v>
      </c>
    </row>
    <row r="11">
      <c r="A11" t="s">
        <v>41</v>
      </c>
      <c r="B11">
        <f>SUM(Attendance!B11:AF11)</f>
        <v>135</v>
      </c>
      <c r="C11">
        <f>MIN(B11,160)</f>
        <v>135</v>
      </c>
      <c r="D11">
        <f>MAX(B11-160,0)</f>
        <v>0</v>
      </c>
      <c r="E11">
        <f>VLOOKUP(A11,Rates!$A$2:$B$40,2,FALSE)</f>
        <v>39</v>
      </c>
      <c r="F11">
        <f>C11*E11</f>
        <v>5265</v>
      </c>
      <c r="G11">
        <f>IF(D11&gt;0,D11*E11*1.5,0)</f>
        <v>0</v>
      </c>
      <c r="H11">
        <f>F11+G11</f>
        <v>5265</v>
      </c>
    </row>
    <row r="12">
      <c r="A12" t="s">
        <v>42</v>
      </c>
      <c r="B12">
        <f>SUM(Attendance!B12:AF12)</f>
        <v>150</v>
      </c>
      <c r="C12">
        <f>MIN(B12,160)</f>
        <v>150</v>
      </c>
      <c r="D12">
        <f>MAX(B12-160,0)</f>
        <v>0</v>
      </c>
      <c r="E12">
        <f>VLOOKUP(A12,Rates!$A$2:$B$40,2,FALSE)</f>
        <v>18</v>
      </c>
      <c r="F12">
        <f>C12*E12</f>
        <v>2700</v>
      </c>
      <c r="G12">
        <f>IF(D12&gt;0,D12*E12*1.5,0)</f>
        <v>0</v>
      </c>
      <c r="H12">
        <f>F12+G12</f>
        <v>2700</v>
      </c>
    </row>
    <row r="13">
      <c r="A13" t="s">
        <v>43</v>
      </c>
      <c r="B13">
        <f>SUM(Attendance!B13:AF13)</f>
        <v>158</v>
      </c>
      <c r="C13">
        <f>MIN(B13,160)</f>
        <v>158</v>
      </c>
      <c r="D13">
        <f>MAX(B13-160,0)</f>
        <v>0</v>
      </c>
      <c r="E13">
        <f>VLOOKUP(A13,Rates!$A$2:$B$40,2,FALSE)</f>
        <v>37</v>
      </c>
      <c r="F13">
        <f>C13*E13</f>
        <v>5846</v>
      </c>
      <c r="G13">
        <f>IF(D13&gt;0,D13*E13*1.5,0)</f>
        <v>0</v>
      </c>
      <c r="H13">
        <f>F13+G13</f>
        <v>5846</v>
      </c>
    </row>
    <row r="14">
      <c r="A14" t="s">
        <v>44</v>
      </c>
      <c r="B14">
        <f>SUM(Attendance!B14:AF14)</f>
        <v>129</v>
      </c>
      <c r="C14">
        <f>MIN(B14,160)</f>
        <v>129</v>
      </c>
      <c r="D14">
        <f>MAX(B14-160,0)</f>
        <v>0</v>
      </c>
      <c r="E14">
        <f>VLOOKUP(A14,Rates!$A$2:$B$40,2,FALSE)</f>
        <v>42</v>
      </c>
      <c r="F14">
        <f>C14*E14</f>
        <v>5418</v>
      </c>
      <c r="G14">
        <f>IF(D14&gt;0,D14*E14*1.5,0)</f>
        <v>0</v>
      </c>
      <c r="H14">
        <f>F14+G14</f>
        <v>5418</v>
      </c>
    </row>
    <row r="15">
      <c r="A15" t="s">
        <v>45</v>
      </c>
      <c r="B15">
        <f>SUM(Attendance!B15:AF15)</f>
        <v>157</v>
      </c>
      <c r="C15">
        <f>MIN(B15,160)</f>
        <v>157</v>
      </c>
      <c r="D15">
        <f>MAX(B15-160,0)</f>
        <v>0</v>
      </c>
      <c r="E15">
        <f>VLOOKUP(A15,Rates!$A$2:$B$40,2,FALSE)</f>
        <v>26</v>
      </c>
      <c r="F15">
        <f>C15*E15</f>
        <v>4082</v>
      </c>
      <c r="G15">
        <f>IF(D15&gt;0,D15*E15*1.5,0)</f>
        <v>0</v>
      </c>
      <c r="H15">
        <f>F15+G15</f>
        <v>4082</v>
      </c>
    </row>
    <row r="16">
      <c r="A16" t="s">
        <v>46</v>
      </c>
      <c r="B16">
        <f>SUM(Attendance!B16:AF16)</f>
        <v>133</v>
      </c>
      <c r="C16">
        <f>MIN(B16,160)</f>
        <v>133</v>
      </c>
      <c r="D16">
        <f>MAX(B16-160,0)</f>
        <v>0</v>
      </c>
      <c r="E16">
        <f>VLOOKUP(A16,Rates!$A$2:$B$40,2,FALSE)</f>
        <v>25</v>
      </c>
      <c r="F16">
        <f>C16*E16</f>
        <v>3325</v>
      </c>
      <c r="G16">
        <f>IF(D16&gt;0,D16*E16*1.5,0)</f>
        <v>0</v>
      </c>
      <c r="H16">
        <f>F16+G16</f>
        <v>3325</v>
      </c>
    </row>
    <row r="17">
      <c r="A17" t="s">
        <v>47</v>
      </c>
      <c r="B17">
        <f>SUM(Attendance!B17:AF17)</f>
        <v>187</v>
      </c>
      <c r="C17">
        <f>MIN(B17,160)</f>
        <v>160</v>
      </c>
      <c r="D17">
        <f>MAX(B17-160,0)</f>
        <v>27</v>
      </c>
      <c r="E17">
        <f>VLOOKUP(A17,Rates!$A$2:$B$40,2,FALSE)</f>
        <v>27</v>
      </c>
      <c r="F17">
        <f>C17*E17</f>
        <v>4320</v>
      </c>
      <c r="G17">
        <f>IF(D17&gt;0,D17*E17*1.5,0)</f>
        <v>1093.5</v>
      </c>
      <c r="H17">
        <f>F17+G17</f>
        <v>5413.5</v>
      </c>
    </row>
    <row r="18">
      <c r="A18" t="s">
        <v>48</v>
      </c>
      <c r="B18">
        <f>SUM(Attendance!B18:AF18)</f>
        <v>133</v>
      </c>
      <c r="C18">
        <f>MIN(B18,160)</f>
        <v>133</v>
      </c>
      <c r="D18">
        <f>MAX(B18-160,0)</f>
        <v>0</v>
      </c>
      <c r="E18">
        <f>VLOOKUP(A18,Rates!$A$2:$B$40,2,FALSE)</f>
        <v>28</v>
      </c>
      <c r="F18">
        <f>C18*E18</f>
        <v>3724</v>
      </c>
      <c r="G18">
        <f>IF(D18&gt;0,D18*E18*1.5,0)</f>
        <v>0</v>
      </c>
      <c r="H18">
        <f>F18+G18</f>
        <v>3724</v>
      </c>
    </row>
    <row r="19">
      <c r="A19" t="s">
        <v>49</v>
      </c>
      <c r="B19">
        <f>SUM(Attendance!B19:AF19)</f>
        <v>179</v>
      </c>
      <c r="C19">
        <f>MIN(B19,160)</f>
        <v>160</v>
      </c>
      <c r="D19">
        <f>MAX(B19-160,0)</f>
        <v>19</v>
      </c>
      <c r="E19">
        <f>VLOOKUP(A19,Rates!$A$2:$B$40,2,FALSE)</f>
        <v>44</v>
      </c>
      <c r="F19">
        <f>C19*E19</f>
        <v>7040</v>
      </c>
      <c r="G19">
        <f>IF(D19&gt;0,D19*E19*1.5,0)</f>
        <v>1254</v>
      </c>
      <c r="H19">
        <f>F19+G19</f>
        <v>8294</v>
      </c>
    </row>
    <row r="20">
      <c r="A20" t="s">
        <v>50</v>
      </c>
      <c r="B20">
        <f>SUM(Attendance!B20:AF20)</f>
        <v>138</v>
      </c>
      <c r="C20">
        <f>MIN(B20,160)</f>
        <v>138</v>
      </c>
      <c r="D20">
        <f>MAX(B20-160,0)</f>
        <v>0</v>
      </c>
      <c r="E20">
        <f>VLOOKUP(A20,Rates!$A$2:$B$40,2,FALSE)</f>
        <v>21</v>
      </c>
      <c r="F20">
        <f>C20*E20</f>
        <v>2898</v>
      </c>
      <c r="G20">
        <f>IF(D20&gt;0,D20*E20*1.5,0)</f>
        <v>0</v>
      </c>
      <c r="H20">
        <f>F20+G20</f>
        <v>2898</v>
      </c>
    </row>
    <row r="21">
      <c r="A21" t="s">
        <v>51</v>
      </c>
      <c r="B21">
        <f>SUM(Attendance!B21:AF21)</f>
        <v>139</v>
      </c>
      <c r="C21">
        <f>MIN(B21,160)</f>
        <v>139</v>
      </c>
      <c r="D21">
        <f>MAX(B21-160,0)</f>
        <v>0</v>
      </c>
      <c r="E21">
        <f>VLOOKUP(A21,Rates!$A$2:$B$40,2,FALSE)</f>
        <v>22</v>
      </c>
      <c r="F21">
        <f>C21*E21</f>
        <v>3058</v>
      </c>
      <c r="G21">
        <f>IF(D21&gt;0,D21*E21*1.5,0)</f>
        <v>0</v>
      </c>
      <c r="H21">
        <f>F21+G21</f>
        <v>3058</v>
      </c>
    </row>
    <row r="22">
      <c r="A22" t="s">
        <v>52</v>
      </c>
      <c r="B22">
        <f>SUM(Attendance!B22:AF22)</f>
        <v>172</v>
      </c>
      <c r="C22">
        <f>MIN(B22,160)</f>
        <v>160</v>
      </c>
      <c r="D22">
        <f>MAX(B22-160,0)</f>
        <v>12</v>
      </c>
      <c r="E22">
        <f>VLOOKUP(A22,Rates!$A$2:$B$40,2,FALSE)</f>
        <v>15</v>
      </c>
      <c r="F22">
        <f>C22*E22</f>
        <v>2400</v>
      </c>
      <c r="G22">
        <f>IF(D22&gt;0,D22*E22*1.5,0)</f>
        <v>270</v>
      </c>
      <c r="H22">
        <f>F22+G22</f>
        <v>2670</v>
      </c>
    </row>
    <row r="23">
      <c r="A23" t="s">
        <v>53</v>
      </c>
      <c r="B23">
        <f>SUM(Attendance!B23:AF23)</f>
        <v>152</v>
      </c>
      <c r="C23">
        <f>MIN(B23,160)</f>
        <v>152</v>
      </c>
      <c r="D23">
        <f>MAX(B23-160,0)</f>
        <v>0</v>
      </c>
      <c r="E23">
        <f>VLOOKUP(A23,Rates!$A$2:$B$40,2,FALSE)</f>
        <v>18</v>
      </c>
      <c r="F23">
        <f>C23*E23</f>
        <v>2736</v>
      </c>
      <c r="G23">
        <f>IF(D23&gt;0,D23*E23*1.5,0)</f>
        <v>0</v>
      </c>
      <c r="H23">
        <f>F23+G23</f>
        <v>2736</v>
      </c>
    </row>
    <row r="24">
      <c r="A24" t="s">
        <v>54</v>
      </c>
      <c r="B24">
        <f>SUM(Attendance!B24:AF24)</f>
        <v>147</v>
      </c>
      <c r="C24">
        <f>MIN(B24,160)</f>
        <v>147</v>
      </c>
      <c r="D24">
        <f>MAX(B24-160,0)</f>
        <v>0</v>
      </c>
      <c r="E24">
        <f>VLOOKUP(A24,Rates!$A$2:$B$40,2,FALSE)</f>
        <v>23</v>
      </c>
      <c r="F24">
        <f>C24*E24</f>
        <v>3381</v>
      </c>
      <c r="G24">
        <f>IF(D24&gt;0,D24*E24*1.5,0)</f>
        <v>0</v>
      </c>
      <c r="H24">
        <f>F24+G24</f>
        <v>3381</v>
      </c>
    </row>
    <row r="25">
      <c r="A25" t="s">
        <v>55</v>
      </c>
      <c r="B25">
        <f>SUM(Attendance!B25:AF25)</f>
        <v>138</v>
      </c>
      <c r="C25">
        <f>MIN(B25,160)</f>
        <v>138</v>
      </c>
      <c r="D25">
        <f>MAX(B25-160,0)</f>
        <v>0</v>
      </c>
      <c r="E25">
        <f>VLOOKUP(A25,Rates!$A$2:$B$40,2,FALSE)</f>
        <v>22</v>
      </c>
      <c r="F25">
        <f>C25*E25</f>
        <v>3036</v>
      </c>
      <c r="G25">
        <f>IF(D25&gt;0,D25*E25*1.5,0)</f>
        <v>0</v>
      </c>
      <c r="H25">
        <f>F25+G25</f>
        <v>3036</v>
      </c>
    </row>
    <row r="26">
      <c r="A26" t="s">
        <v>56</v>
      </c>
      <c r="B26">
        <f>SUM(Attendance!B26:AF26)</f>
        <v>196</v>
      </c>
      <c r="C26">
        <f>MIN(B26,160)</f>
        <v>160</v>
      </c>
      <c r="D26">
        <f>MAX(B26-160,0)</f>
        <v>36</v>
      </c>
      <c r="E26">
        <f>VLOOKUP(A26,Rates!$A$2:$B$40,2,FALSE)</f>
        <v>42</v>
      </c>
      <c r="F26">
        <f>C26*E26</f>
        <v>6720</v>
      </c>
      <c r="G26">
        <f>IF(D26&gt;0,D26*E26*1.5,0)</f>
        <v>2268</v>
      </c>
      <c r="H26">
        <f>F26+G26</f>
        <v>8988</v>
      </c>
    </row>
    <row r="27">
      <c r="A27" t="s">
        <v>57</v>
      </c>
      <c r="B27">
        <f>SUM(Attendance!B27:AF27)</f>
        <v>181</v>
      </c>
      <c r="C27">
        <f>MIN(B27,160)</f>
        <v>160</v>
      </c>
      <c r="D27">
        <f>MAX(B27-160,0)</f>
        <v>21</v>
      </c>
      <c r="E27">
        <f>VLOOKUP(A27,Rates!$A$2:$B$40,2,FALSE)</f>
        <v>18</v>
      </c>
      <c r="F27">
        <f>C27*E27</f>
        <v>2880</v>
      </c>
      <c r="G27">
        <f>IF(D27&gt;0,D27*E27*1.5,0)</f>
        <v>567</v>
      </c>
      <c r="H27">
        <f>F27+G27</f>
        <v>3447</v>
      </c>
    </row>
    <row r="28">
      <c r="A28" t="s">
        <v>58</v>
      </c>
      <c r="B28">
        <f>SUM(Attendance!B28:AF28)</f>
        <v>154</v>
      </c>
      <c r="C28">
        <f>MIN(B28,160)</f>
        <v>154</v>
      </c>
      <c r="D28">
        <f>MAX(B28-160,0)</f>
        <v>0</v>
      </c>
      <c r="E28" t="e">
        <f>VLOOKUP(A28,Rates!$A$2:$B$40,2,FALSE)</f>
        <v>#N/A</v>
      </c>
      <c r="F28" t="e">
        <f>C28*E28</f>
        <v>#N/A</v>
      </c>
      <c r="G28">
        <f>IF(D28&gt;0,D28*E28*1.5,0)</f>
        <v>0</v>
      </c>
      <c r="H28" t="e">
        <f>F28+G28</f>
        <v>#N/A</v>
      </c>
    </row>
    <row r="29">
      <c r="A29" t="s">
        <v>59</v>
      </c>
      <c r="B29">
        <f>SUM(Attendance!B29:AF29)</f>
        <v>165</v>
      </c>
      <c r="C29">
        <f>MIN(B29,160)</f>
        <v>160</v>
      </c>
      <c r="D29">
        <f>MAX(B29-160,0)</f>
        <v>5</v>
      </c>
      <c r="E29">
        <f>VLOOKUP(A29,Rates!$A$2:$B$40,2,FALSE)</f>
        <v>15</v>
      </c>
      <c r="F29">
        <f>C29*E29</f>
        <v>2400</v>
      </c>
      <c r="G29">
        <f>IF(D29&gt;0,D29*E29*1.5,0)</f>
        <v>112.5</v>
      </c>
      <c r="H29">
        <f>F29+G29</f>
        <v>2512.5</v>
      </c>
    </row>
    <row r="30">
      <c r="A30" t="s">
        <v>60</v>
      </c>
      <c r="B30">
        <f>SUM(Attendance!B30:AF30)</f>
        <v>148</v>
      </c>
      <c r="C30">
        <f>MIN(B30,160)</f>
        <v>148</v>
      </c>
      <c r="D30">
        <f>MAX(B30-160,0)</f>
        <v>0</v>
      </c>
      <c r="E30">
        <f>VLOOKUP(A30,Rates!$A$2:$B$40,2,FALSE)</f>
        <v>36</v>
      </c>
      <c r="F30">
        <f>C30*E30</f>
        <v>5328</v>
      </c>
      <c r="G30">
        <f>IF(D30&gt;0,D30*E30*1.5,0)</f>
        <v>0</v>
      </c>
      <c r="H30">
        <f>F30+G30</f>
        <v>5328</v>
      </c>
    </row>
    <row r="31">
      <c r="A31" t="s">
        <v>61</v>
      </c>
      <c r="B31">
        <f>SUM(Attendance!B31:AF31)</f>
        <v>170</v>
      </c>
      <c r="C31">
        <f>MIN(B31,160)</f>
        <v>160</v>
      </c>
      <c r="D31">
        <f>MAX(B31-160,0)</f>
        <v>10</v>
      </c>
      <c r="E31">
        <f>VLOOKUP(A31,Rates!$A$2:$B$40,2,FALSE)</f>
        <v>25</v>
      </c>
      <c r="F31">
        <f>C31*E31</f>
        <v>4000</v>
      </c>
      <c r="G31">
        <f>IF(D31&gt;0,D31*E31*1.5,0)</f>
        <v>375</v>
      </c>
      <c r="H31">
        <f>F31+G31</f>
        <v>4375</v>
      </c>
    </row>
    <row r="32">
      <c r="A32" t="s">
        <v>62</v>
      </c>
      <c r="B32">
        <f>SUM(Attendance!B32:AF32)</f>
        <v>132</v>
      </c>
      <c r="C32">
        <f>MIN(B32,160)</f>
        <v>132</v>
      </c>
      <c r="D32">
        <f>MAX(B32-160,0)</f>
        <v>0</v>
      </c>
      <c r="E32">
        <f>VLOOKUP(A32,Rates!$A$2:$B$40,2,FALSE)</f>
        <v>40</v>
      </c>
      <c r="F32">
        <f>C32*E32</f>
        <v>5280</v>
      </c>
      <c r="G32">
        <f>IF(D32&gt;0,D32*E32*1.5,0)</f>
        <v>0</v>
      </c>
      <c r="H32">
        <f>F32+G32</f>
        <v>5280</v>
      </c>
    </row>
    <row r="33">
      <c r="A33" t="s">
        <v>63</v>
      </c>
      <c r="B33">
        <f>SUM(Attendance!B33:AF33)</f>
        <v>137</v>
      </c>
      <c r="C33">
        <f>MIN(B33,160)</f>
        <v>137</v>
      </c>
      <c r="D33">
        <f>MAX(B33-160,0)</f>
        <v>0</v>
      </c>
      <c r="E33">
        <f>VLOOKUP(A33,Rates!$A$2:$B$40,2,FALSE)</f>
        <v>45</v>
      </c>
      <c r="F33">
        <f>C33*E33</f>
        <v>6165</v>
      </c>
      <c r="G33">
        <f>IF(D33&gt;0,D33*E33*1.5,0)</f>
        <v>0</v>
      </c>
      <c r="H33">
        <f>F33+G33</f>
        <v>6165</v>
      </c>
    </row>
    <row r="34">
      <c r="A34" t="s">
        <v>64</v>
      </c>
      <c r="B34">
        <f>SUM(Attendance!B34:AF34)</f>
        <v>153</v>
      </c>
      <c r="C34">
        <f>MIN(B34,160)</f>
        <v>153</v>
      </c>
      <c r="D34">
        <f>MAX(B34-160,0)</f>
        <v>0</v>
      </c>
      <c r="E34">
        <f>VLOOKUP(A34,Rates!$A$2:$B$40,2,FALSE)</f>
        <v>38</v>
      </c>
      <c r="F34">
        <f>C34*E34</f>
        <v>5814</v>
      </c>
      <c r="G34">
        <f>IF(D34&gt;0,D34*E34*1.5,0)</f>
        <v>0</v>
      </c>
      <c r="H34">
        <f>F34+G34</f>
        <v>5814</v>
      </c>
    </row>
    <row r="35">
      <c r="A35" t="s">
        <v>65</v>
      </c>
      <c r="B35">
        <f>SUM(Attendance!B35:AF35)</f>
        <v>156</v>
      </c>
      <c r="C35">
        <f>MIN(B35,160)</f>
        <v>156</v>
      </c>
      <c r="D35">
        <f>MAX(B35-160,0)</f>
        <v>0</v>
      </c>
      <c r="E35">
        <f>VLOOKUP(A35,Rates!$A$2:$B$40,2,FALSE)</f>
        <v>29</v>
      </c>
      <c r="F35">
        <f>C35*E35</f>
        <v>4524</v>
      </c>
      <c r="G35">
        <f>IF(D35&gt;0,D35*E35*1.5,0)</f>
        <v>0</v>
      </c>
      <c r="H35">
        <f>F35+G35</f>
        <v>4524</v>
      </c>
    </row>
    <row r="36">
      <c r="A36" t="s">
        <v>66</v>
      </c>
      <c r="B36">
        <f>SUM(Attendance!B36:AF36)</f>
        <v>165</v>
      </c>
      <c r="C36">
        <f>MIN(B36,160)</f>
        <v>160</v>
      </c>
      <c r="D36">
        <f>MAX(B36-160,0)</f>
        <v>5</v>
      </c>
      <c r="E36">
        <f>VLOOKUP(A36,Rates!$A$2:$B$40,2,FALSE)</f>
        <v>16</v>
      </c>
      <c r="F36">
        <f>C36*E36</f>
        <v>2560</v>
      </c>
      <c r="G36">
        <f>IF(D36&gt;0,D36*E36*1.5,0)</f>
        <v>120</v>
      </c>
      <c r="H36">
        <f>F36+G36</f>
        <v>2680</v>
      </c>
    </row>
    <row r="37">
      <c r="A37" t="s">
        <v>67</v>
      </c>
      <c r="B37">
        <f>SUM(Attendance!B37:AF37)</f>
        <v>158</v>
      </c>
      <c r="C37">
        <f>MIN(B37,160)</f>
        <v>158</v>
      </c>
      <c r="D37">
        <f>MAX(B37-160,0)</f>
        <v>0</v>
      </c>
      <c r="E37">
        <f>VLOOKUP(A37,Rates!$A$2:$B$40,2,FALSE)</f>
        <v>26</v>
      </c>
      <c r="F37">
        <f>C37*E37</f>
        <v>4108</v>
      </c>
      <c r="G37">
        <f>IF(D37&gt;0,D37*E37*1.5,0)</f>
        <v>0</v>
      </c>
      <c r="H37">
        <f>F37+G37</f>
        <v>4108</v>
      </c>
    </row>
    <row r="38">
      <c r="A38" t="s">
        <v>68</v>
      </c>
      <c r="B38">
        <f>SUM(Attendance!B38:AF38)</f>
        <v>151</v>
      </c>
      <c r="C38">
        <f>MIN(B38,160)</f>
        <v>151</v>
      </c>
      <c r="D38">
        <f>MAX(B38-160,0)</f>
        <v>0</v>
      </c>
      <c r="E38">
        <f>VLOOKUP(A38,Rates!$A$2:$B$40,2,FALSE)</f>
        <v>32</v>
      </c>
      <c r="F38">
        <f>C38*E38</f>
        <v>4832</v>
      </c>
      <c r="G38">
        <f>IF(D38&gt;0,D38*E38*1.5,0)</f>
        <v>0</v>
      </c>
      <c r="H38">
        <f>F38+G38</f>
        <v>4832</v>
      </c>
    </row>
    <row r="39">
      <c r="A39" t="s">
        <v>69</v>
      </c>
      <c r="B39">
        <f>SUM(Attendance!B39:AF39)</f>
        <v>142</v>
      </c>
      <c r="C39">
        <f>MIN(B39,160)</f>
        <v>142</v>
      </c>
      <c r="D39">
        <f>MAX(B39-160,0)</f>
        <v>0</v>
      </c>
      <c r="E39">
        <f>VLOOKUP(A39,Rates!$A$2:$B$40,2,FALSE)</f>
        <v>34</v>
      </c>
      <c r="F39">
        <f>C39*E39</f>
        <v>4828</v>
      </c>
      <c r="G39">
        <f>IF(D39&gt;0,D39*E39*1.5,0)</f>
        <v>0</v>
      </c>
      <c r="H39">
        <f>F39+G39</f>
        <v>4828</v>
      </c>
    </row>
    <row r="40">
      <c r="A40" t="s">
        <v>70</v>
      </c>
      <c r="B40">
        <f>SUM(Attendance!B40:AF40)</f>
        <v>139</v>
      </c>
      <c r="C40">
        <f>MIN(B40,160)</f>
        <v>139</v>
      </c>
      <c r="D40">
        <f>MAX(B40-160,0)</f>
        <v>0</v>
      </c>
      <c r="E40">
        <f>VLOOKUP(A40,Rates!$A$2:$B$40,2,FALSE)</f>
        <v>19</v>
      </c>
      <c r="F40">
        <f>C40*E40</f>
        <v>2641</v>
      </c>
      <c r="G40">
        <f>IF(D40&gt;0,D40*E40*1.5,0)</f>
        <v>0</v>
      </c>
      <c r="H40">
        <f>F40+G40</f>
        <v>2641</v>
      </c>
    </row>
    <row r="41">
      <c r="A41" t="s">
        <v>71</v>
      </c>
      <c r="B41">
        <f>SUM(Attendance!B41:AF41)</f>
        <v>145</v>
      </c>
      <c r="C41">
        <f>MIN(B41,160)</f>
        <v>145</v>
      </c>
      <c r="D41">
        <f>MAX(B41-160,0)</f>
        <v>0</v>
      </c>
      <c r="E41">
        <f>VLOOKUP(A41,Rates!$A$2:$B$40,2,FALSE)</f>
        <v>40</v>
      </c>
      <c r="F41">
        <f>C41*E41</f>
        <v>5800</v>
      </c>
      <c r="G41">
        <f>IF(D41&gt;0,D41*E41*1.5,0)</f>
        <v>0</v>
      </c>
      <c r="H41">
        <f>F41+G41</f>
        <v>5800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2026-01-01T00:00:00Z</dcterms:created>
  <dcterms:modified xsi:type="dcterms:W3CDTF">2026-01-01T00:00:00Z</dcterms:modified>
  <cp:category/>
  <cp:contentStatus/>
</cp:coreProperties>
</file>