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Claims" sheetId="1" r:id="rId1"/>
    <sheet name="Limits" sheetId="2" r:id="rId2"/>
  </sheets>
  <definedNames/>
  <calcPr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<sst xmlns="http://schemas.openxmlformats.org/spreadsheetml/2006/main" count="325" uniqueCount="325">
  <si>
    <t>category</t>
  </si>
  <si>
    <t>limit</t>
  </si>
  <si>
    <t>Auto</t>
  </si>
  <si>
    <t>Property</t>
  </si>
  <si>
    <t>Medical</t>
  </si>
  <si>
    <t>Liability</t>
  </si>
  <si>
    <t>Travel</t>
  </si>
  <si>
    <t>id</t>
  </si>
  <si>
    <t>branch</t>
  </si>
  <si>
    <t>amount</t>
  </si>
  <si>
    <t>status</t>
  </si>
  <si>
    <t>submitted</t>
  </si>
  <si>
    <t>approved</t>
  </si>
  <si>
    <t>over_limit</t>
  </si>
  <si>
    <t>date_check</t>
  </si>
  <si>
    <t>CLM-0001</t>
  </si>
  <si>
    <t>BR5</t>
  </si>
  <si>
    <t>Submitted</t>
  </si>
  <si>
    <t>CLM-0002</t>
  </si>
  <si>
    <t>Rejected</t>
  </si>
  <si>
    <t>CLM-0003</t>
  </si>
  <si>
    <t>BR3</t>
  </si>
  <si>
    <t>Paid</t>
  </si>
  <si>
    <t>CLM-0004</t>
  </si>
  <si>
    <t>CLM-0005</t>
  </si>
  <si>
    <t>CLM-0006</t>
  </si>
  <si>
    <t>BR2</t>
  </si>
  <si>
    <t>Approved</t>
  </si>
  <si>
    <t>CLM-0007</t>
  </si>
  <si>
    <t>CLM-0008</t>
  </si>
  <si>
    <t>BR1</t>
  </si>
  <si>
    <t>CLM-0009</t>
  </si>
  <si>
    <t>CLM-0010</t>
  </si>
  <si>
    <t>CLM-0011</t>
  </si>
  <si>
    <t>CLM-0012</t>
  </si>
  <si>
    <t>CLM-0013</t>
  </si>
  <si>
    <t>CLM-0014</t>
  </si>
  <si>
    <t>BR4</t>
  </si>
  <si>
    <t>CLM-0015</t>
  </si>
  <si>
    <t>CLM-0016</t>
  </si>
  <si>
    <t>CLM-0017</t>
  </si>
  <si>
    <t>CLM-0018</t>
  </si>
  <si>
    <t>CLM-0019</t>
  </si>
  <si>
    <t>CLM-0020</t>
  </si>
  <si>
    <t>CLM-0021</t>
  </si>
  <si>
    <t>CLM-0022</t>
  </si>
  <si>
    <t>CLM-0023</t>
  </si>
  <si>
    <t>CLM-0024</t>
  </si>
  <si>
    <t>CLM-0025</t>
  </si>
  <si>
    <t>CLM-0026</t>
  </si>
  <si>
    <t>CLM-0027</t>
  </si>
  <si>
    <t>CLM-0028</t>
  </si>
  <si>
    <t>CLM-0029</t>
  </si>
  <si>
    <t>CLM-0030</t>
  </si>
  <si>
    <t>CLM-0031</t>
  </si>
  <si>
    <t>CLM-0032</t>
  </si>
  <si>
    <t>CLM-0033</t>
  </si>
  <si>
    <t>CLM-0034</t>
  </si>
  <si>
    <t>CLM-0035</t>
  </si>
  <si>
    <t>CLM-0036</t>
  </si>
  <si>
    <t>CLM-0037</t>
  </si>
  <si>
    <t>CLM-0038</t>
  </si>
  <si>
    <t>CLM-0039</t>
  </si>
  <si>
    <t>CLM-0040</t>
  </si>
  <si>
    <t>CLM-0041</t>
  </si>
  <si>
    <t>CLM-0042</t>
  </si>
  <si>
    <t>CLM-0043</t>
  </si>
  <si>
    <t>CLM-0044</t>
  </si>
  <si>
    <t>CLM-0045</t>
  </si>
  <si>
    <t>CLM-0046</t>
  </si>
  <si>
    <t>CLM-0047</t>
  </si>
  <si>
    <t>CLM-0048</t>
  </si>
  <si>
    <t>CLM-0049</t>
  </si>
  <si>
    <t>CLM-0050</t>
  </si>
  <si>
    <t>CLM-0051</t>
  </si>
  <si>
    <t>CLM-0052</t>
  </si>
  <si>
    <t>CLM-0053</t>
  </si>
  <si>
    <t>CLM-0054</t>
  </si>
  <si>
    <t>CLM-0055</t>
  </si>
  <si>
    <t>CLM-0056</t>
  </si>
  <si>
    <t>CLM-0057</t>
  </si>
  <si>
    <t>CLM-0058</t>
  </si>
  <si>
    <t>CLM-0059</t>
  </si>
  <si>
    <t>CLM-0060</t>
  </si>
  <si>
    <t>CLM-0061</t>
  </si>
  <si>
    <t>CLM-0062</t>
  </si>
  <si>
    <t>CLM-0063</t>
  </si>
  <si>
    <t>CLM-0064</t>
  </si>
  <si>
    <t>CLM-0065</t>
  </si>
  <si>
    <t>CLM-0066</t>
  </si>
  <si>
    <t>CLM-0067</t>
  </si>
  <si>
    <t>CLM-0068</t>
  </si>
  <si>
    <t>CLM-0069</t>
  </si>
  <si>
    <t>CLM-0070</t>
  </si>
  <si>
    <t>CLM-0071</t>
  </si>
  <si>
    <t>CLM-0072</t>
  </si>
  <si>
    <t>CLM-0073</t>
  </si>
  <si>
    <t>CLM-0074</t>
  </si>
  <si>
    <t>CLM-0075</t>
  </si>
  <si>
    <t>CLM-0076</t>
  </si>
  <si>
    <t>CLM-0077</t>
  </si>
  <si>
    <t>CLM-0078</t>
  </si>
  <si>
    <t>CLM-0079</t>
  </si>
  <si>
    <t>CLM-0080</t>
  </si>
  <si>
    <t>CLM-0081</t>
  </si>
  <si>
    <t>CLM-0082</t>
  </si>
  <si>
    <t>CLM-0083</t>
  </si>
  <si>
    <t>CLM-0084</t>
  </si>
  <si>
    <t>CLM-0085</t>
  </si>
  <si>
    <t>CLM-0086</t>
  </si>
  <si>
    <t>CLM-0087</t>
  </si>
  <si>
    <t>CLM-0088</t>
  </si>
  <si>
    <t>CLM-0089</t>
  </si>
  <si>
    <t>CLM-0090</t>
  </si>
  <si>
    <t>CLM-0091</t>
  </si>
  <si>
    <t>CLM-0092</t>
  </si>
  <si>
    <t>CLM-0093</t>
  </si>
  <si>
    <t>CLM-0094</t>
  </si>
  <si>
    <t>CLM-0095</t>
  </si>
  <si>
    <t>CLM-0096</t>
  </si>
  <si>
    <t>CLM-0097</t>
  </si>
  <si>
    <t>CLM-0098</t>
  </si>
  <si>
    <t>CLM-0099</t>
  </si>
  <si>
    <t>CLM-0100</t>
  </si>
  <si>
    <t>CLM-0101</t>
  </si>
  <si>
    <t>CLM-0102</t>
  </si>
  <si>
    <t>CLM-0103</t>
  </si>
  <si>
    <t>CLM-0104</t>
  </si>
  <si>
    <t>CLM-0105</t>
  </si>
  <si>
    <t>CLM-0106</t>
  </si>
  <si>
    <t>CLM-0107</t>
  </si>
  <si>
    <t>CLM-0108</t>
  </si>
  <si>
    <t>CLM-0109</t>
  </si>
  <si>
    <t>CLM-0110</t>
  </si>
  <si>
    <t>CLM-0111</t>
  </si>
  <si>
    <t>CLM-0112</t>
  </si>
  <si>
    <t>CLM-0113</t>
  </si>
  <si>
    <t>CLM-0114</t>
  </si>
  <si>
    <t>CLM-0115</t>
  </si>
  <si>
    <t>CLM-0116</t>
  </si>
  <si>
    <t>CLM-0117</t>
  </si>
  <si>
    <t>CLM-0118</t>
  </si>
  <si>
    <t>CLM-0119</t>
  </si>
  <si>
    <t>CLM-0120</t>
  </si>
  <si>
    <t>CLM-0121</t>
  </si>
  <si>
    <t>CLM-0122</t>
  </si>
  <si>
    <t>CLM-0123</t>
  </si>
  <si>
    <t>CLM-0124</t>
  </si>
  <si>
    <t>CLM-0125</t>
  </si>
  <si>
    <t>CLM-0126</t>
  </si>
  <si>
    <t>CLM-0127</t>
  </si>
  <si>
    <t>CLM-0128</t>
  </si>
  <si>
    <t>CLM-0129</t>
  </si>
  <si>
    <t>CLM-0130</t>
  </si>
  <si>
    <t>CLM-0131</t>
  </si>
  <si>
    <t>CLM-0132</t>
  </si>
  <si>
    <t>CLM-0133</t>
  </si>
  <si>
    <t>CLM-0134</t>
  </si>
  <si>
    <t>CLM-0135</t>
  </si>
  <si>
    <t>CLM-0136</t>
  </si>
  <si>
    <t>CLM-0137</t>
  </si>
  <si>
    <t>CLM-0138</t>
  </si>
  <si>
    <t>CLM-0139</t>
  </si>
  <si>
    <t>CLM-0140</t>
  </si>
  <si>
    <t>CLM-0141</t>
  </si>
  <si>
    <t>CLM-0142</t>
  </si>
  <si>
    <t>CLM-0143</t>
  </si>
  <si>
    <t>CLM-0144</t>
  </si>
  <si>
    <t>CLM-0145</t>
  </si>
  <si>
    <t>CLM-0146</t>
  </si>
  <si>
    <t>CLM-0147</t>
  </si>
  <si>
    <t>CLM-0148</t>
  </si>
  <si>
    <t>CLM-0149</t>
  </si>
  <si>
    <t>CLM-0150</t>
  </si>
  <si>
    <t>CLM-0151</t>
  </si>
  <si>
    <t>CLM-0152</t>
  </si>
  <si>
    <t>CLM-0153</t>
  </si>
  <si>
    <t>CLM-0154</t>
  </si>
  <si>
    <t>CLM-0155</t>
  </si>
  <si>
    <t>CLM-0156</t>
  </si>
  <si>
    <t>CLM-0157</t>
  </si>
  <si>
    <t>CLM-0158</t>
  </si>
  <si>
    <t>CLM-0159</t>
  </si>
  <si>
    <t>CLM-0160</t>
  </si>
  <si>
    <t>CLM-0161</t>
  </si>
  <si>
    <t>CLM-0162</t>
  </si>
  <si>
    <t>CLM-0163</t>
  </si>
  <si>
    <t>CLM-0164</t>
  </si>
  <si>
    <t>CLM-0165</t>
  </si>
  <si>
    <t>CLM-0166</t>
  </si>
  <si>
    <t>CLM-0167</t>
  </si>
  <si>
    <t>CLM-0168</t>
  </si>
  <si>
    <t>CLM-0169</t>
  </si>
  <si>
    <t>CLM-0170</t>
  </si>
  <si>
    <t>CLM-0171</t>
  </si>
  <si>
    <t>CLM-0172</t>
  </si>
  <si>
    <t>CLM-0173</t>
  </si>
  <si>
    <t>CLM-0174</t>
  </si>
  <si>
    <t>CLM-0175</t>
  </si>
  <si>
    <t>CLM-0176</t>
  </si>
  <si>
    <t>CLM-0177</t>
  </si>
  <si>
    <t>CLM-0178</t>
  </si>
  <si>
    <t>CLM-0179</t>
  </si>
  <si>
    <t>CLM-0180</t>
  </si>
  <si>
    <t>CLM-0181</t>
  </si>
  <si>
    <t>CLM-0182</t>
  </si>
  <si>
    <t>CLM-0183</t>
  </si>
  <si>
    <t>CLM-0184</t>
  </si>
  <si>
    <t>CLM-0185</t>
  </si>
  <si>
    <t>CLM-0186</t>
  </si>
  <si>
    <t>CLM-0187</t>
  </si>
  <si>
    <t>CLM-0188</t>
  </si>
  <si>
    <t>CLM-0189</t>
  </si>
  <si>
    <t>CLM-0190</t>
  </si>
  <si>
    <t>CLM-0191</t>
  </si>
  <si>
    <t>CLM-0192</t>
  </si>
  <si>
    <t>CLM-0193</t>
  </si>
  <si>
    <t>CLM-0194</t>
  </si>
  <si>
    <t>CLM-0195</t>
  </si>
  <si>
    <t>CLM-0196</t>
  </si>
  <si>
    <t>CLM-0197</t>
  </si>
  <si>
    <t>CLM-0198</t>
  </si>
  <si>
    <t>CLM-0199</t>
  </si>
  <si>
    <t>CLM-0200</t>
  </si>
  <si>
    <t>CLM-0201</t>
  </si>
  <si>
    <t>CLM-0202</t>
  </si>
  <si>
    <t>CLM-0203</t>
  </si>
  <si>
    <t>CLM-0204</t>
  </si>
  <si>
    <t>CLM-0205</t>
  </si>
  <si>
    <t>CLM-0206</t>
  </si>
  <si>
    <t>CLM-0207</t>
  </si>
  <si>
    <t>CLM-0208</t>
  </si>
  <si>
    <t>CLM-0209</t>
  </si>
  <si>
    <t>CLM-0210</t>
  </si>
  <si>
    <t>CLM-0211</t>
  </si>
  <si>
    <t>CLM-0212</t>
  </si>
  <si>
    <t>CLM-0213</t>
  </si>
  <si>
    <t>CLM-0214</t>
  </si>
  <si>
    <t>CLM-0215</t>
  </si>
  <si>
    <t>CLM-0216</t>
  </si>
  <si>
    <t>CLM-0217</t>
  </si>
  <si>
    <t>CLM-0218</t>
  </si>
  <si>
    <t>CLM-0219</t>
  </si>
  <si>
    <t>CLM-0220</t>
  </si>
  <si>
    <t>CLM-0221</t>
  </si>
  <si>
    <t>CLM-0222</t>
  </si>
  <si>
    <t>CLM-0223</t>
  </si>
  <si>
    <t>CLM-0224</t>
  </si>
  <si>
    <t>CLM-0225</t>
  </si>
  <si>
    <t>CLM-0226</t>
  </si>
  <si>
    <t>CLM-0227</t>
  </si>
  <si>
    <t>CLM-0228</t>
  </si>
  <si>
    <t>CLM-0229</t>
  </si>
  <si>
    <t>CLM-0230</t>
  </si>
  <si>
    <t>CLM-0231</t>
  </si>
  <si>
    <t>CLM-0232</t>
  </si>
  <si>
    <t>CLM-0233</t>
  </si>
  <si>
    <t>CLM-0234</t>
  </si>
  <si>
    <t>CLM-0235</t>
  </si>
  <si>
    <t>CLM-0236</t>
  </si>
  <si>
    <t>CLM-0237</t>
  </si>
  <si>
    <t>CLM-0238</t>
  </si>
  <si>
    <t>CLM-0239</t>
  </si>
  <si>
    <t>CLM-0240</t>
  </si>
  <si>
    <t>CLM-0241</t>
  </si>
  <si>
    <t>CLM-0242</t>
  </si>
  <si>
    <t>CLM-0243</t>
  </si>
  <si>
    <t>CLM-0244</t>
  </si>
  <si>
    <t>CLM-0245</t>
  </si>
  <si>
    <t>CLM-0246</t>
  </si>
  <si>
    <t>CLM-0247</t>
  </si>
  <si>
    <t>CLM-0248</t>
  </si>
  <si>
    <t>CLM-0249</t>
  </si>
  <si>
    <t>CLM-0250</t>
  </si>
  <si>
    <t>CLM-0251</t>
  </si>
  <si>
    <t>CLM-0252</t>
  </si>
  <si>
    <t>CLM-0253</t>
  </si>
  <si>
    <t>CLM-0254</t>
  </si>
  <si>
    <t>CLM-0255</t>
  </si>
  <si>
    <t>CLM-0256</t>
  </si>
  <si>
    <t>CLM-0257</t>
  </si>
  <si>
    <t>CLM-0258</t>
  </si>
  <si>
    <t>CLM-0259</t>
  </si>
  <si>
    <t>CLM-0260</t>
  </si>
  <si>
    <t>CLM-0261</t>
  </si>
  <si>
    <t>CLM-0262</t>
  </si>
  <si>
    <t>CLM-0263</t>
  </si>
  <si>
    <t>CLM-0264</t>
  </si>
  <si>
    <t>CLM-0265</t>
  </si>
  <si>
    <t>CLM-0266</t>
  </si>
  <si>
    <t>CLM-0267</t>
  </si>
  <si>
    <t>CLM-0268</t>
  </si>
  <si>
    <t>CLM-0269</t>
  </si>
  <si>
    <t>CLM-0270</t>
  </si>
  <si>
    <t>CLM-0271</t>
  </si>
  <si>
    <t>CLM-0272</t>
  </si>
  <si>
    <t>CLM-0273</t>
  </si>
  <si>
    <t>CLM-0274</t>
  </si>
  <si>
    <t>CLM-0275</t>
  </si>
  <si>
    <t>CLM-0276</t>
  </si>
  <si>
    <t>CLM-0277</t>
  </si>
  <si>
    <t>CLM-0278</t>
  </si>
  <si>
    <t>CLM-0279</t>
  </si>
  <si>
    <t>CLM-0280</t>
  </si>
  <si>
    <t>CLM-0281</t>
  </si>
  <si>
    <t>CLM-0282</t>
  </si>
  <si>
    <t>CLM-0283</t>
  </si>
  <si>
    <t>CLM-0284</t>
  </si>
  <si>
    <t>CLM-0285</t>
  </si>
  <si>
    <t>CLM-0286</t>
  </si>
  <si>
    <t>CLM-0287</t>
  </si>
  <si>
    <t>CLM-0288</t>
  </si>
  <si>
    <t>CLM-0289</t>
  </si>
  <si>
    <t>CLM-0290</t>
  </si>
  <si>
    <t>CLM-0291</t>
  </si>
  <si>
    <t>CLM-0292</t>
  </si>
  <si>
    <t>CLM-0293</t>
  </si>
  <si>
    <t>CLM-0294</t>
  </si>
  <si>
    <t>CLM-0295</t>
  </si>
  <si>
    <t>CLM-0296</t>
  </si>
  <si>
    <t>CLM-0297</t>
  </si>
  <si>
    <t>CLM-0298</t>
  </si>
  <si>
    <t>CLM-0299</t>
  </si>
  <si>
    <t>CLM-0300</t>
  </si>
  <si>
    <t>count</t>
  </si>
</sst>
</file>

<file path=xl/styles.xml><?xml version="1.0" encoding="utf-8"?>
<styleSheet xmlns="http://schemas.openxmlformats.org/spreadsheetml/2006/main">
  <numFmts count="1">
    <numFmt numFmtId="45" formatCode="m/d/yyyy"/>
  </numFmts>
  <fonts count="1">
    <font>
      <sz val="12"/>
      <name val="Inter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xfId="0" borderId="0" fillId="0" fontId="0" numFmtId="0"/>
    <xf xfId="0" borderId="0" fillId="0" fontId="0" numFmtId="45"/>
  </cellXfs>
  <cellStyles count="1">
    <cellStyle xfId="0" name="normal" builtinId="0"/>
  </cellStyles>
  <dxfs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sheetMetadata" Target="metadata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M301"/>
  <sheetViews>
    <sheetView workbookViewId="0" tabSelected="1">
      <selection activeCell="A1" sqref="A1"/>
    </sheetView>
  </sheetViews>
  <sheetData>
    <row r="1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11</v>
      </c>
      <c r="G1" t="s">
        <v>12</v>
      </c>
      <c r="H1" t="s">
        <v>1</v>
      </c>
      <c r="I1" t="s">
        <v>13</v>
      </c>
      <c r="J1" t="s">
        <v>14</v>
      </c>
      <c r="L1" t="s">
        <v>10</v>
      </c>
      <c r="M1" t="s">
        <v>324</v>
      </c>
    </row>
    <row r="2">
      <c r="A2" t="s">
        <v>15</v>
      </c>
      <c r="B2" t="s">
        <v>16</v>
      </c>
      <c r="C2" t="s">
        <v>3</v>
      </c>
      <c r="D2">
        <v>13335</v>
      </c>
      <c r="E2" t="s">
        <v>17</v>
      </c>
      <c r="F2" s="1">
        <f>DATE(2026,4,15)</f>
        <v>46127</v>
      </c>
      <c r="H2">
        <f>VLOOKUP($C2,Limits!$A$2:$B$6,2,FALSE)</f>
        <v>20000</v>
      </c>
      <c r="I2" t="str">
        <f>IF(D2&gt;H2,"OVER","OK")</f>
        <v>OK</v>
      </c>
      <c r="J2" t="str">
        <f>IF(G2="","OK",IF(G2&lt;F2,"BAD_DATE","OK"))</f>
        <v>OK</v>
      </c>
      <c r="L2" t="s">
        <v>17</v>
      </c>
      <c r="M2">
        <f>COUNTIF($E$2:$E$301,L2)</f>
        <v>83</v>
      </c>
    </row>
    <row r="3">
      <c r="A3" t="s">
        <v>18</v>
      </c>
      <c r="B3" t="s">
        <v>16</v>
      </c>
      <c r="C3" t="s">
        <v>2</v>
      </c>
      <c r="D3">
        <v>19792</v>
      </c>
      <c r="E3" t="s">
        <v>19</v>
      </c>
      <c r="F3" s="1">
        <f>DATE(2026,6,21)</f>
        <v>46194</v>
      </c>
      <c r="H3">
        <f>VLOOKUP($C3,Limits!$A$2:$B$6,2,FALSE)</f>
        <v>5000</v>
      </c>
      <c r="I3" t="str">
        <f>IF(D3&gt;H3,"OVER","OK")</f>
        <v>OVER</v>
      </c>
      <c r="J3" t="str">
        <f>IF(G3="","OK",IF(G3&lt;F3,"BAD_DATE","OK"))</f>
        <v>OK</v>
      </c>
      <c r="L3" t="s">
        <v>27</v>
      </c>
      <c r="M3">
        <f>COUNTIF($E$2:$E$301,L3)</f>
        <v>69</v>
      </c>
    </row>
    <row r="4">
      <c r="A4" t="s">
        <v>20</v>
      </c>
      <c r="B4" t="s">
        <v>21</v>
      </c>
      <c r="C4" t="s">
        <v>6</v>
      </c>
      <c r="D4">
        <v>15551</v>
      </c>
      <c r="E4" t="s">
        <v>22</v>
      </c>
      <c r="F4" s="1">
        <f>DATE(2026,2,19)</f>
        <v>46072</v>
      </c>
      <c r="G4" s="1">
        <f>DATE(2026,2,39)</f>
        <v>46092</v>
      </c>
      <c r="H4">
        <f>VLOOKUP($C4,Limits!$A$2:$B$6,2,FALSE)</f>
        <v>3000</v>
      </c>
      <c r="I4" t="str">
        <f>IF(D4&gt;H4,"OVER","OK")</f>
        <v>OVER</v>
      </c>
      <c r="J4" t="str">
        <f>IF(G4="","OK",IF(G4&lt;F4,"BAD_DATE","OK"))</f>
        <v>OK</v>
      </c>
      <c r="L4" t="s">
        <v>19</v>
      </c>
      <c r="M4">
        <f>COUNTIF($E$2:$E$301,L4)</f>
        <v>79</v>
      </c>
    </row>
    <row r="5">
      <c r="A5" t="s">
        <v>23</v>
      </c>
      <c r="B5" t="s">
        <v>16</v>
      </c>
      <c r="C5" t="s">
        <v>6</v>
      </c>
      <c r="D5">
        <v>21867</v>
      </c>
      <c r="E5" t="s">
        <v>17</v>
      </c>
      <c r="F5" s="1">
        <f>DATE(2026,1,28)</f>
        <v>46050</v>
      </c>
      <c r="H5">
        <f>VLOOKUP($C5,Limits!$A$2:$B$6,2,FALSE)</f>
        <v>3000</v>
      </c>
      <c r="I5" t="str">
        <f>IF(D5&gt;H5,"OVER","OK")</f>
        <v>OVER</v>
      </c>
      <c r="J5" t="str">
        <f>IF(G5="","OK",IF(G5&lt;F5,"BAD_DATE","OK"))</f>
        <v>OK</v>
      </c>
      <c r="L5" t="s">
        <v>22</v>
      </c>
      <c r="M5">
        <f>COUNTIF($E$2:$E$301,L5)</f>
        <v>69</v>
      </c>
    </row>
    <row r="6">
      <c r="A6" t="s">
        <v>24</v>
      </c>
      <c r="B6" t="s">
        <v>21</v>
      </c>
      <c r="C6" t="s">
        <v>3</v>
      </c>
      <c r="D6">
        <v>11328</v>
      </c>
      <c r="E6" t="s">
        <v>19</v>
      </c>
      <c r="F6" s="1">
        <f>DATE(2026,1,26)</f>
        <v>46048</v>
      </c>
      <c r="H6">
        <f>VLOOKUP($C6,Limits!$A$2:$B$6,2,FALSE)</f>
        <v>20000</v>
      </c>
      <c r="I6" t="str">
        <f>IF(D6&gt;H6,"OVER","OK")</f>
        <v>OK</v>
      </c>
      <c r="J6" t="str">
        <f>IF(G6="","OK",IF(G6&lt;F6,"BAD_DATE","OK"))</f>
        <v>OK</v>
      </c>
    </row>
    <row r="7">
      <c r="A7" t="s">
        <v>25</v>
      </c>
      <c r="B7" t="s">
        <v>26</v>
      </c>
      <c r="C7" t="s">
        <v>5</v>
      </c>
      <c r="D7">
        <v>17616</v>
      </c>
      <c r="E7" t="s">
        <v>27</v>
      </c>
      <c r="F7" s="1">
        <f>DATE(2026,1,5)</f>
        <v>46027</v>
      </c>
      <c r="G7" s="1">
        <f>DATE(2026,1,16)</f>
        <v>46038</v>
      </c>
      <c r="H7">
        <f>VLOOKUP($C7,Limits!$A$2:$B$6,2,FALSE)</f>
        <v>15000</v>
      </c>
      <c r="I7" t="str">
        <f>IF(D7&gt;H7,"OVER","OK")</f>
        <v>OVER</v>
      </c>
      <c r="J7" t="str">
        <f>IF(G7="","OK",IF(G7&lt;F7,"BAD_DATE","OK"))</f>
        <v>OK</v>
      </c>
    </row>
    <row r="8">
      <c r="A8" t="s">
        <v>28</v>
      </c>
      <c r="B8" t="s">
        <v>21</v>
      </c>
      <c r="C8" t="s">
        <v>5</v>
      </c>
      <c r="D8">
        <v>10059</v>
      </c>
      <c r="E8" t="s">
        <v>22</v>
      </c>
      <c r="F8" s="1">
        <f>DATE(2026,3,14)</f>
        <v>46095</v>
      </c>
      <c r="G8" s="1">
        <f>DATE(2026,3,16)</f>
        <v>46097</v>
      </c>
      <c r="H8">
        <f>VLOOKUP($C8,Limits!$A$2:$B$6,2,FALSE)</f>
        <v>15000</v>
      </c>
      <c r="I8" t="str">
        <f>IF(D8&gt;H8,"OVER","OK")</f>
        <v>OK</v>
      </c>
      <c r="J8" t="str">
        <f>IF(G8="","OK",IF(G8&lt;F8,"BAD_DATE","OK"))</f>
        <v>OK</v>
      </c>
    </row>
    <row r="9">
      <c r="A9" t="s">
        <v>29</v>
      </c>
      <c r="B9" t="s">
        <v>30</v>
      </c>
      <c r="C9" t="s">
        <v>4</v>
      </c>
      <c r="D9">
        <v>1925</v>
      </c>
      <c r="E9" t="s">
        <v>19</v>
      </c>
      <c r="F9" s="1">
        <f>DATE(2026,5,28)</f>
        <v>46170</v>
      </c>
      <c r="H9">
        <f>VLOOKUP($C9,Limits!$A$2:$B$6,2,FALSE)</f>
        <v>10000</v>
      </c>
      <c r="I9" t="str">
        <f>IF(D9&gt;H9,"OVER","OK")</f>
        <v>OK</v>
      </c>
      <c r="J9" t="str">
        <f>IF(G9="","OK",IF(G9&lt;F9,"BAD_DATE","OK"))</f>
        <v>OK</v>
      </c>
    </row>
    <row r="10">
      <c r="A10" t="s">
        <v>31</v>
      </c>
      <c r="B10" t="s">
        <v>21</v>
      </c>
      <c r="C10" t="s">
        <v>2</v>
      </c>
      <c r="D10">
        <v>5829</v>
      </c>
      <c r="E10" t="s">
        <v>27</v>
      </c>
      <c r="F10" s="1">
        <f>DATE(2026,2,28)</f>
        <v>46081</v>
      </c>
      <c r="G10" s="1">
        <f>DATE(2026,2,32)</f>
        <v>46085</v>
      </c>
      <c r="H10">
        <f>VLOOKUP($C10,Limits!$A$2:$B$6,2,FALSE)</f>
        <v>5000</v>
      </c>
      <c r="I10" t="str">
        <f>IF(D10&gt;H10,"OVER","OK")</f>
        <v>OVER</v>
      </c>
      <c r="J10" t="str">
        <f>IF(G10="","OK",IF(G10&lt;F10,"BAD_DATE","OK"))</f>
        <v>OK</v>
      </c>
    </row>
    <row r="11">
      <c r="A11" t="s">
        <v>32</v>
      </c>
      <c r="B11" t="s">
        <v>30</v>
      </c>
      <c r="C11" t="s">
        <v>5</v>
      </c>
      <c r="D11">
        <v>21467</v>
      </c>
      <c r="E11" t="s">
        <v>19</v>
      </c>
      <c r="F11" s="1">
        <f>DATE(2026,4,10)</f>
        <v>46122</v>
      </c>
      <c r="H11">
        <f>VLOOKUP($C11,Limits!$A$2:$B$6,2,FALSE)</f>
        <v>15000</v>
      </c>
      <c r="I11" t="str">
        <f>IF(D11&gt;H11,"OVER","OK")</f>
        <v>OVER</v>
      </c>
      <c r="J11" t="str">
        <f>IF(G11="","OK",IF(G11&lt;F11,"BAD_DATE","OK"))</f>
        <v>OK</v>
      </c>
    </row>
    <row r="12">
      <c r="A12" t="s">
        <v>33</v>
      </c>
      <c r="B12" t="s">
        <v>16</v>
      </c>
      <c r="C12" t="s">
        <v>2</v>
      </c>
      <c r="D12">
        <v>9020</v>
      </c>
      <c r="E12" t="s">
        <v>27</v>
      </c>
      <c r="F12" s="1">
        <f>DATE(2026,1,25)</f>
        <v>46047</v>
      </c>
      <c r="G12" s="1">
        <f>DATE(2026,1,43)</f>
        <v>46065</v>
      </c>
      <c r="H12">
        <f>VLOOKUP($C12,Limits!$A$2:$B$6,2,FALSE)</f>
        <v>5000</v>
      </c>
      <c r="I12" t="str">
        <f>IF(D12&gt;H12,"OVER","OK")</f>
        <v>OVER</v>
      </c>
      <c r="J12" t="str">
        <f>IF(G12="","OK",IF(G12&lt;F12,"BAD_DATE","OK"))</f>
        <v>OK</v>
      </c>
    </row>
    <row r="13">
      <c r="A13" t="s">
        <v>34</v>
      </c>
      <c r="B13" t="s">
        <v>26</v>
      </c>
      <c r="C13" t="s">
        <v>5</v>
      </c>
      <c r="D13">
        <v>18851</v>
      </c>
      <c r="E13" t="s">
        <v>17</v>
      </c>
      <c r="F13" s="1">
        <f>DATE(2026,5,13)</f>
        <v>46155</v>
      </c>
      <c r="H13">
        <f>VLOOKUP($C13,Limits!$A$2:$B$6,2,FALSE)</f>
        <v>15000</v>
      </c>
      <c r="I13" t="str">
        <f>IF(D13&gt;H13,"OVER","OK")</f>
        <v>OVER</v>
      </c>
      <c r="J13" t="str">
        <f>IF(G13="","OK",IF(G13&lt;F13,"BAD_DATE","OK"))</f>
        <v>OK</v>
      </c>
    </row>
    <row r="14">
      <c r="A14" t="s">
        <v>35</v>
      </c>
      <c r="B14" t="s">
        <v>16</v>
      </c>
      <c r="C14" t="s">
        <v>5</v>
      </c>
      <c r="D14">
        <v>19427</v>
      </c>
      <c r="E14" t="s">
        <v>22</v>
      </c>
      <c r="F14" s="1">
        <f>DATE(2026,3,15)</f>
        <v>46096</v>
      </c>
      <c r="G14" s="1">
        <f>DATE(2026,3,35)</f>
        <v>46116</v>
      </c>
      <c r="H14">
        <f>VLOOKUP($C14,Limits!$A$2:$B$6,2,FALSE)</f>
        <v>15000</v>
      </c>
      <c r="I14" t="str">
        <f>IF(D14&gt;H14,"OVER","OK")</f>
        <v>OVER</v>
      </c>
      <c r="J14" t="str">
        <f>IF(G14="","OK",IF(G14&lt;F14,"BAD_DATE","OK"))</f>
        <v>OK</v>
      </c>
    </row>
    <row r="15">
      <c r="A15" t="s">
        <v>36</v>
      </c>
      <c r="B15" t="s">
        <v>37</v>
      </c>
      <c r="C15" t="s">
        <v>3</v>
      </c>
      <c r="D15">
        <v>5226</v>
      </c>
      <c r="E15" t="s">
        <v>19</v>
      </c>
      <c r="F15" s="1">
        <f>DATE(2026,6,23)</f>
        <v>46196</v>
      </c>
      <c r="H15">
        <f>VLOOKUP($C15,Limits!$A$2:$B$6,2,FALSE)</f>
        <v>20000</v>
      </c>
      <c r="I15" t="str">
        <f>IF(D15&gt;H15,"OVER","OK")</f>
        <v>OK</v>
      </c>
      <c r="J15" t="str">
        <f>IF(G15="","OK",IF(G15&lt;F15,"BAD_DATE","OK"))</f>
        <v>OK</v>
      </c>
    </row>
    <row r="16">
      <c r="A16" t="s">
        <v>38</v>
      </c>
      <c r="B16" t="s">
        <v>16</v>
      </c>
      <c r="C16" t="s">
        <v>5</v>
      </c>
      <c r="D16">
        <v>9394</v>
      </c>
      <c r="E16" t="s">
        <v>19</v>
      </c>
      <c r="F16" s="1">
        <f>DATE(2026,6,25)</f>
        <v>46198</v>
      </c>
      <c r="H16">
        <f>VLOOKUP($C16,Limits!$A$2:$B$6,2,FALSE)</f>
        <v>15000</v>
      </c>
      <c r="I16" t="str">
        <f>IF(D16&gt;H16,"OVER","OK")</f>
        <v>OK</v>
      </c>
      <c r="J16" t="str">
        <f>IF(G16="","OK",IF(G16&lt;F16,"BAD_DATE","OK"))</f>
        <v>OK</v>
      </c>
    </row>
    <row r="17">
      <c r="A17" t="s">
        <v>39</v>
      </c>
      <c r="B17" t="s">
        <v>30</v>
      </c>
      <c r="C17" t="s">
        <v>5</v>
      </c>
      <c r="D17">
        <v>5769</v>
      </c>
      <c r="E17" t="s">
        <v>27</v>
      </c>
      <c r="F17" s="1">
        <f>DATE(2026,2,10)</f>
        <v>46063</v>
      </c>
      <c r="G17" s="1">
        <f>DATE(2026,2,27)</f>
        <v>46080</v>
      </c>
      <c r="H17">
        <f>VLOOKUP($C17,Limits!$A$2:$B$6,2,FALSE)</f>
        <v>15000</v>
      </c>
      <c r="I17" t="str">
        <f>IF(D17&gt;H17,"OVER","OK")</f>
        <v>OK</v>
      </c>
      <c r="J17" t="str">
        <f>IF(G17="","OK",IF(G17&lt;F17,"BAD_DATE","OK"))</f>
        <v>OK</v>
      </c>
    </row>
    <row r="18">
      <c r="A18" t="s">
        <v>40</v>
      </c>
      <c r="B18" t="s">
        <v>16</v>
      </c>
      <c r="C18" t="s">
        <v>6</v>
      </c>
      <c r="D18">
        <v>9010</v>
      </c>
      <c r="E18" t="s">
        <v>19</v>
      </c>
      <c r="F18" s="1">
        <f>DATE(2026,4,18)</f>
        <v>46130</v>
      </c>
      <c r="H18">
        <f>VLOOKUP($C18,Limits!$A$2:$B$6,2,FALSE)</f>
        <v>3000</v>
      </c>
      <c r="I18" t="str">
        <f>IF(D18&gt;H18,"OVER","OK")</f>
        <v>OVER</v>
      </c>
      <c r="J18" t="str">
        <f>IF(G18="","OK",IF(G18&lt;F18,"BAD_DATE","OK"))</f>
        <v>OK</v>
      </c>
    </row>
    <row r="19">
      <c r="A19" t="s">
        <v>41</v>
      </c>
      <c r="B19" t="s">
        <v>30</v>
      </c>
      <c r="C19" t="s">
        <v>6</v>
      </c>
      <c r="D19">
        <v>15152</v>
      </c>
      <c r="E19" t="s">
        <v>19</v>
      </c>
      <c r="F19" s="1">
        <f>DATE(2026,6,6)</f>
        <v>46179</v>
      </c>
      <c r="H19">
        <f>VLOOKUP($C19,Limits!$A$2:$B$6,2,FALSE)</f>
        <v>3000</v>
      </c>
      <c r="I19" t="str">
        <f>IF(D19&gt;H19,"OVER","OK")</f>
        <v>OVER</v>
      </c>
      <c r="J19" t="str">
        <f>IF(G19="","OK",IF(G19&lt;F19,"BAD_DATE","OK"))</f>
        <v>OK</v>
      </c>
    </row>
    <row r="20">
      <c r="A20" t="s">
        <v>42</v>
      </c>
      <c r="B20" t="s">
        <v>37</v>
      </c>
      <c r="C20" t="s">
        <v>3</v>
      </c>
      <c r="D20">
        <v>6655</v>
      </c>
      <c r="E20" t="s">
        <v>19</v>
      </c>
      <c r="F20" s="1">
        <f>DATE(2026,5,22)</f>
        <v>46164</v>
      </c>
      <c r="H20">
        <f>VLOOKUP($C20,Limits!$A$2:$B$6,2,FALSE)</f>
        <v>20000</v>
      </c>
      <c r="I20" t="str">
        <f>IF(D20&gt;H20,"OVER","OK")</f>
        <v>OK</v>
      </c>
      <c r="J20" t="str">
        <f>IF(G20="","OK",IF(G20&lt;F20,"BAD_DATE","OK"))</f>
        <v>OK</v>
      </c>
    </row>
    <row r="21">
      <c r="A21" t="s">
        <v>43</v>
      </c>
      <c r="B21" t="s">
        <v>16</v>
      </c>
      <c r="C21" t="s">
        <v>4</v>
      </c>
      <c r="D21">
        <v>1703</v>
      </c>
      <c r="E21" t="s">
        <v>22</v>
      </c>
      <c r="F21" s="1">
        <f>DATE(2026,4,19)</f>
        <v>46131</v>
      </c>
      <c r="G21" s="1">
        <f>DATE(2026,4,22)</f>
        <v>46134</v>
      </c>
      <c r="H21">
        <f>VLOOKUP($C21,Limits!$A$2:$B$6,2,FALSE)</f>
        <v>10000</v>
      </c>
      <c r="I21" t="str">
        <f>IF(D21&gt;H21,"OVER","OK")</f>
        <v>OK</v>
      </c>
      <c r="J21" t="str">
        <f>IF(G21="","OK",IF(G21&lt;F21,"BAD_DATE","OK"))</f>
        <v>OK</v>
      </c>
    </row>
    <row r="22">
      <c r="A22" t="s">
        <v>44</v>
      </c>
      <c r="B22" t="s">
        <v>16</v>
      </c>
      <c r="C22" t="s">
        <v>2</v>
      </c>
      <c r="D22">
        <v>20976</v>
      </c>
      <c r="E22" t="s">
        <v>27</v>
      </c>
      <c r="F22" s="1">
        <f>DATE(2026,6,12)</f>
        <v>46185</v>
      </c>
      <c r="G22" s="1">
        <f>DATE(2026,6,28)</f>
        <v>46201</v>
      </c>
      <c r="H22">
        <f>VLOOKUP($C22,Limits!$A$2:$B$6,2,FALSE)</f>
        <v>5000</v>
      </c>
      <c r="I22" t="str">
        <f>IF(D22&gt;H22,"OVER","OK")</f>
        <v>OVER</v>
      </c>
      <c r="J22" t="str">
        <f>IF(G22="","OK",IF(G22&lt;F22,"BAD_DATE","OK"))</f>
        <v>OK</v>
      </c>
    </row>
    <row r="23">
      <c r="A23" t="s">
        <v>45</v>
      </c>
      <c r="B23" t="s">
        <v>30</v>
      </c>
      <c r="C23" t="s">
        <v>6</v>
      </c>
      <c r="D23">
        <v>13284</v>
      </c>
      <c r="E23" t="s">
        <v>27</v>
      </c>
      <c r="F23" s="1">
        <f>DATE(2026,3,13)</f>
        <v>46094</v>
      </c>
      <c r="G23" s="1">
        <f>DATE(2026,3,37)</f>
        <v>46118</v>
      </c>
      <c r="H23">
        <f>VLOOKUP($C23,Limits!$A$2:$B$6,2,FALSE)</f>
        <v>3000</v>
      </c>
      <c r="I23" t="str">
        <f>IF(D23&gt;H23,"OVER","OK")</f>
        <v>OVER</v>
      </c>
      <c r="J23" t="str">
        <f>IF(G23="","OK",IF(G23&lt;F23,"BAD_DATE","OK"))</f>
        <v>OK</v>
      </c>
    </row>
    <row r="24">
      <c r="A24" t="s">
        <v>46</v>
      </c>
      <c r="B24" t="s">
        <v>37</v>
      </c>
      <c r="C24" t="s">
        <v>5</v>
      </c>
      <c r="D24">
        <v>17384</v>
      </c>
      <c r="E24" t="s">
        <v>17</v>
      </c>
      <c r="F24" s="1">
        <f>DATE(2026,2,23)</f>
        <v>46076</v>
      </c>
      <c r="H24">
        <f>VLOOKUP($C24,Limits!$A$2:$B$6,2,FALSE)</f>
        <v>15000</v>
      </c>
      <c r="I24" t="str">
        <f>IF(D24&gt;H24,"OVER","OK")</f>
        <v>OVER</v>
      </c>
      <c r="J24" t="str">
        <f>IF(G24="","OK",IF(G24&lt;F24,"BAD_DATE","OK"))</f>
        <v>OK</v>
      </c>
    </row>
    <row r="25">
      <c r="A25" t="s">
        <v>47</v>
      </c>
      <c r="B25" t="s">
        <v>30</v>
      </c>
      <c r="C25" t="s">
        <v>3</v>
      </c>
      <c r="D25">
        <v>1500</v>
      </c>
      <c r="E25" t="s">
        <v>27</v>
      </c>
      <c r="F25" s="1">
        <f>DATE(2026,2,17)</f>
        <v>46070</v>
      </c>
      <c r="G25" s="1">
        <f>DATE(2026,2,19)</f>
        <v>46072</v>
      </c>
      <c r="H25">
        <f>VLOOKUP($C25,Limits!$A$2:$B$6,2,FALSE)</f>
        <v>20000</v>
      </c>
      <c r="I25" t="str">
        <f>IF(D25&gt;H25,"OVER","OK")</f>
        <v>OK</v>
      </c>
      <c r="J25" t="str">
        <f>IF(G25="","OK",IF(G25&lt;F25,"BAD_DATE","OK"))</f>
        <v>OK</v>
      </c>
    </row>
    <row r="26">
      <c r="A26" t="s">
        <v>48</v>
      </c>
      <c r="B26" t="s">
        <v>21</v>
      </c>
      <c r="C26" t="s">
        <v>6</v>
      </c>
      <c r="D26">
        <v>17752</v>
      </c>
      <c r="E26" t="s">
        <v>27</v>
      </c>
      <c r="F26" s="1">
        <f>DATE(2026,6,20)</f>
        <v>46193</v>
      </c>
      <c r="G26" s="1">
        <f>DATE(2026,6,31)</f>
        <v>46204</v>
      </c>
      <c r="H26">
        <f>VLOOKUP($C26,Limits!$A$2:$B$6,2,FALSE)</f>
        <v>3000</v>
      </c>
      <c r="I26" t="str">
        <f>IF(D26&gt;H26,"OVER","OK")</f>
        <v>OVER</v>
      </c>
      <c r="J26" t="str">
        <f>IF(G26="","OK",IF(G26&lt;F26,"BAD_DATE","OK"))</f>
        <v>OK</v>
      </c>
    </row>
    <row r="27">
      <c r="A27" t="s">
        <v>49</v>
      </c>
      <c r="B27" t="s">
        <v>16</v>
      </c>
      <c r="C27" t="s">
        <v>6</v>
      </c>
      <c r="D27">
        <v>3159</v>
      </c>
      <c r="E27" t="s">
        <v>17</v>
      </c>
      <c r="F27" s="1">
        <f>DATE(2026,5,20)</f>
        <v>46162</v>
      </c>
      <c r="H27">
        <f>VLOOKUP($C27,Limits!$A$2:$B$6,2,FALSE)</f>
        <v>3000</v>
      </c>
      <c r="I27" t="str">
        <f>IF(D27&gt;H27,"OVER","OK")</f>
        <v>OVER</v>
      </c>
      <c r="J27" t="str">
        <f>IF(G27="","OK",IF(G27&lt;F27,"BAD_DATE","OK"))</f>
        <v>OK</v>
      </c>
    </row>
    <row r="28">
      <c r="A28" t="s">
        <v>50</v>
      </c>
      <c r="B28" t="s">
        <v>37</v>
      </c>
      <c r="C28" t="s">
        <v>5</v>
      </c>
      <c r="D28">
        <v>16805</v>
      </c>
      <c r="E28" t="s">
        <v>19</v>
      </c>
      <c r="F28" s="1">
        <f>DATE(2026,2,17)</f>
        <v>46070</v>
      </c>
      <c r="H28">
        <f>VLOOKUP($C28,Limits!$A$2:$B$6,2,FALSE)</f>
        <v>15000</v>
      </c>
      <c r="I28" t="str">
        <f>IF(D28&gt;H28,"OVER","OK")</f>
        <v>OVER</v>
      </c>
      <c r="J28" t="str">
        <f>IF(G28="","OK",IF(G28&lt;F28,"BAD_DATE","OK"))</f>
        <v>OK</v>
      </c>
    </row>
    <row r="29">
      <c r="A29" t="s">
        <v>51</v>
      </c>
      <c r="B29" t="s">
        <v>21</v>
      </c>
      <c r="C29" t="s">
        <v>2</v>
      </c>
      <c r="D29">
        <v>14022</v>
      </c>
      <c r="E29" t="s">
        <v>19</v>
      </c>
      <c r="F29" s="1">
        <f>DATE(2026,2,28)</f>
        <v>46081</v>
      </c>
      <c r="H29">
        <f>VLOOKUP($C29,Limits!$A$2:$B$6,2,FALSE)</f>
        <v>5000</v>
      </c>
      <c r="I29" t="str">
        <f>IF(D29&gt;H29,"OVER","OK")</f>
        <v>OVER</v>
      </c>
      <c r="J29" t="str">
        <f>IF(G29="","OK",IF(G29&lt;F29,"BAD_DATE","OK"))</f>
        <v>OK</v>
      </c>
    </row>
    <row r="30">
      <c r="A30" t="s">
        <v>52</v>
      </c>
      <c r="B30" t="s">
        <v>37</v>
      </c>
      <c r="C30" t="s">
        <v>3</v>
      </c>
      <c r="D30">
        <v>22881</v>
      </c>
      <c r="E30" t="s">
        <v>22</v>
      </c>
      <c r="F30" s="1">
        <f>DATE(2026,2,22)</f>
        <v>46075</v>
      </c>
      <c r="G30" s="1">
        <f>DATE(2026,2,36)</f>
        <v>46089</v>
      </c>
      <c r="H30">
        <f>VLOOKUP($C30,Limits!$A$2:$B$6,2,FALSE)</f>
        <v>20000</v>
      </c>
      <c r="I30" t="str">
        <f>IF(D30&gt;H30,"OVER","OK")</f>
        <v>OVER</v>
      </c>
      <c r="J30" t="str">
        <f>IF(G30="","OK",IF(G30&lt;F30,"BAD_DATE","OK"))</f>
        <v>OK</v>
      </c>
    </row>
    <row r="31">
      <c r="A31" t="s">
        <v>53</v>
      </c>
      <c r="B31" t="s">
        <v>37</v>
      </c>
      <c r="C31" t="s">
        <v>6</v>
      </c>
      <c r="D31">
        <v>14640</v>
      </c>
      <c r="E31" t="s">
        <v>17</v>
      </c>
      <c r="F31" s="1">
        <f>DATE(2026,5,18)</f>
        <v>46160</v>
      </c>
      <c r="H31">
        <f>VLOOKUP($C31,Limits!$A$2:$B$6,2,FALSE)</f>
        <v>3000</v>
      </c>
      <c r="I31" t="str">
        <f>IF(D31&gt;H31,"OVER","OK")</f>
        <v>OVER</v>
      </c>
      <c r="J31" t="str">
        <f>IF(G31="","OK",IF(G31&lt;F31,"BAD_DATE","OK"))</f>
        <v>OK</v>
      </c>
    </row>
    <row r="32">
      <c r="A32" t="s">
        <v>54</v>
      </c>
      <c r="B32" t="s">
        <v>37</v>
      </c>
      <c r="C32" t="s">
        <v>6</v>
      </c>
      <c r="D32">
        <v>14087</v>
      </c>
      <c r="E32" t="s">
        <v>27</v>
      </c>
      <c r="F32" s="1">
        <f>DATE(2026,3,2)</f>
        <v>46083</v>
      </c>
      <c r="G32" s="1">
        <f>DATE(2026,3,26)</f>
        <v>46107</v>
      </c>
      <c r="H32">
        <f>VLOOKUP($C32,Limits!$A$2:$B$6,2,FALSE)</f>
        <v>3000</v>
      </c>
      <c r="I32" t="str">
        <f>IF(D32&gt;H32,"OVER","OK")</f>
        <v>OVER</v>
      </c>
      <c r="J32" t="str">
        <f>IF(G32="","OK",IF(G32&lt;F32,"BAD_DATE","OK"))</f>
        <v>OK</v>
      </c>
    </row>
    <row r="33">
      <c r="A33" t="s">
        <v>55</v>
      </c>
      <c r="B33" t="s">
        <v>16</v>
      </c>
      <c r="C33" t="s">
        <v>4</v>
      </c>
      <c r="D33">
        <v>14098</v>
      </c>
      <c r="E33" t="s">
        <v>17</v>
      </c>
      <c r="F33" s="1">
        <f>DATE(2026,5,4)</f>
        <v>46146</v>
      </c>
      <c r="H33">
        <f>VLOOKUP($C33,Limits!$A$2:$B$6,2,FALSE)</f>
        <v>10000</v>
      </c>
      <c r="I33" t="str">
        <f>IF(D33&gt;H33,"OVER","OK")</f>
        <v>OVER</v>
      </c>
      <c r="J33" t="str">
        <f>IF(G33="","OK",IF(G33&lt;F33,"BAD_DATE","OK"))</f>
        <v>OK</v>
      </c>
    </row>
    <row r="34">
      <c r="A34" t="s">
        <v>56</v>
      </c>
      <c r="B34" t="s">
        <v>16</v>
      </c>
      <c r="C34" t="s">
        <v>3</v>
      </c>
      <c r="D34">
        <v>7808</v>
      </c>
      <c r="E34" t="s">
        <v>19</v>
      </c>
      <c r="F34" s="1">
        <f>DATE(2026,4,9)</f>
        <v>46121</v>
      </c>
      <c r="H34">
        <f>VLOOKUP($C34,Limits!$A$2:$B$6,2,FALSE)</f>
        <v>20000</v>
      </c>
      <c r="I34" t="str">
        <f>IF(D34&gt;H34,"OVER","OK")</f>
        <v>OK</v>
      </c>
      <c r="J34" t="str">
        <f>IF(G34="","OK",IF(G34&lt;F34,"BAD_DATE","OK"))</f>
        <v>OK</v>
      </c>
    </row>
    <row r="35">
      <c r="A35" t="s">
        <v>57</v>
      </c>
      <c r="B35" t="s">
        <v>21</v>
      </c>
      <c r="C35" t="s">
        <v>6</v>
      </c>
      <c r="D35">
        <v>18845</v>
      </c>
      <c r="E35" t="s">
        <v>27</v>
      </c>
      <c r="F35" s="1">
        <f>DATE(2026,2,16)</f>
        <v>46069</v>
      </c>
      <c r="G35" s="1">
        <f>DATE(2026,2,34)</f>
        <v>46087</v>
      </c>
      <c r="H35">
        <f>VLOOKUP($C35,Limits!$A$2:$B$6,2,FALSE)</f>
        <v>3000</v>
      </c>
      <c r="I35" t="str">
        <f>IF(D35&gt;H35,"OVER","OK")</f>
        <v>OVER</v>
      </c>
      <c r="J35" t="str">
        <f>IF(G35="","OK",IF(G35&lt;F35,"BAD_DATE","OK"))</f>
        <v>OK</v>
      </c>
    </row>
    <row r="36">
      <c r="A36" t="s">
        <v>58</v>
      </c>
      <c r="B36" t="s">
        <v>21</v>
      </c>
      <c r="C36" t="s">
        <v>3</v>
      </c>
      <c r="D36">
        <v>1845</v>
      </c>
      <c r="E36" t="s">
        <v>17</v>
      </c>
      <c r="F36" s="1">
        <f>DATE(2026,1,6)</f>
        <v>46028</v>
      </c>
      <c r="H36">
        <f>VLOOKUP($C36,Limits!$A$2:$B$6,2,FALSE)</f>
        <v>20000</v>
      </c>
      <c r="I36" t="str">
        <f>IF(D36&gt;H36,"OVER","OK")</f>
        <v>OK</v>
      </c>
      <c r="J36" t="str">
        <f>IF(G36="","OK",IF(G36&lt;F36,"BAD_DATE","OK"))</f>
        <v>OK</v>
      </c>
    </row>
    <row r="37">
      <c r="A37" t="s">
        <v>59</v>
      </c>
      <c r="B37" t="s">
        <v>16</v>
      </c>
      <c r="C37" t="s">
        <v>2</v>
      </c>
      <c r="D37">
        <v>14195</v>
      </c>
      <c r="E37" t="s">
        <v>17</v>
      </c>
      <c r="F37" s="1">
        <f>DATE(2026,2,1)</f>
        <v>46054</v>
      </c>
      <c r="H37">
        <f>VLOOKUP($C37,Limits!$A$2:$B$6,2,FALSE)</f>
        <v>5000</v>
      </c>
      <c r="I37" t="str">
        <f>IF(D37&gt;H37,"OVER","OK")</f>
        <v>OVER</v>
      </c>
      <c r="J37" t="str">
        <f>IF(G37="","OK",IF(G37&lt;F37,"BAD_DATE","OK"))</f>
        <v>OK</v>
      </c>
    </row>
    <row r="38">
      <c r="A38" t="s">
        <v>60</v>
      </c>
      <c r="B38" t="s">
        <v>26</v>
      </c>
      <c r="C38" t="s">
        <v>3</v>
      </c>
      <c r="D38">
        <v>585</v>
      </c>
      <c r="E38" t="s">
        <v>19</v>
      </c>
      <c r="F38" s="1">
        <f>DATE(2026,2,2)</f>
        <v>46055</v>
      </c>
      <c r="H38">
        <f>VLOOKUP($C38,Limits!$A$2:$B$6,2,FALSE)</f>
        <v>20000</v>
      </c>
      <c r="I38" t="str">
        <f>IF(D38&gt;H38,"OVER","OK")</f>
        <v>OK</v>
      </c>
      <c r="J38" t="str">
        <f>IF(G38="","OK",IF(G38&lt;F38,"BAD_DATE","OK"))</f>
        <v>OK</v>
      </c>
    </row>
    <row r="39">
      <c r="A39" t="s">
        <v>61</v>
      </c>
      <c r="B39" t="s">
        <v>26</v>
      </c>
      <c r="C39" t="s">
        <v>5</v>
      </c>
      <c r="D39">
        <v>18716</v>
      </c>
      <c r="E39" t="s">
        <v>17</v>
      </c>
      <c r="F39" s="1">
        <f>DATE(2026,4,21)</f>
        <v>46133</v>
      </c>
      <c r="H39">
        <f>VLOOKUP($C39,Limits!$A$2:$B$6,2,FALSE)</f>
        <v>15000</v>
      </c>
      <c r="I39" t="str">
        <f>IF(D39&gt;H39,"OVER","OK")</f>
        <v>OVER</v>
      </c>
      <c r="J39" t="str">
        <f>IF(G39="","OK",IF(G39&lt;F39,"BAD_DATE","OK"))</f>
        <v>OK</v>
      </c>
    </row>
    <row r="40">
      <c r="A40" t="s">
        <v>62</v>
      </c>
      <c r="B40" t="s">
        <v>16</v>
      </c>
      <c r="C40" t="s">
        <v>3</v>
      </c>
      <c r="D40">
        <v>12833</v>
      </c>
      <c r="E40" t="s">
        <v>22</v>
      </c>
      <c r="F40" s="1">
        <f>DATE(2026,6,6)</f>
        <v>46179</v>
      </c>
      <c r="G40" s="1">
        <f>DATE(2026,6,30)</f>
        <v>46203</v>
      </c>
      <c r="H40">
        <f>VLOOKUP($C40,Limits!$A$2:$B$6,2,FALSE)</f>
        <v>20000</v>
      </c>
      <c r="I40" t="str">
        <f>IF(D40&gt;H40,"OVER","OK")</f>
        <v>OK</v>
      </c>
      <c r="J40" t="str">
        <f>IF(G40="","OK",IF(G40&lt;F40,"BAD_DATE","OK"))</f>
        <v>OK</v>
      </c>
    </row>
    <row r="41">
      <c r="A41" t="s">
        <v>63</v>
      </c>
      <c r="B41" t="s">
        <v>16</v>
      </c>
      <c r="C41" t="s">
        <v>4</v>
      </c>
      <c r="D41">
        <v>5833</v>
      </c>
      <c r="E41" t="s">
        <v>27</v>
      </c>
      <c r="F41" s="1">
        <f>DATE(2026,6,23)</f>
        <v>46196</v>
      </c>
      <c r="G41" s="1">
        <f>DATE(2026,6,40)</f>
        <v>46213</v>
      </c>
      <c r="H41">
        <f>VLOOKUP($C41,Limits!$A$2:$B$6,2,FALSE)</f>
        <v>10000</v>
      </c>
      <c r="I41" t="str">
        <f>IF(D41&gt;H41,"OVER","OK")</f>
        <v>OK</v>
      </c>
      <c r="J41" t="str">
        <f>IF(G41="","OK",IF(G41&lt;F41,"BAD_DATE","OK"))</f>
        <v>OK</v>
      </c>
    </row>
    <row r="42">
      <c r="A42" t="s">
        <v>64</v>
      </c>
      <c r="B42" t="s">
        <v>37</v>
      </c>
      <c r="C42" t="s">
        <v>2</v>
      </c>
      <c r="D42">
        <v>4452</v>
      </c>
      <c r="E42" t="s">
        <v>17</v>
      </c>
      <c r="F42" s="1">
        <f>DATE(2026,4,8)</f>
        <v>46120</v>
      </c>
      <c r="H42">
        <f>VLOOKUP($C42,Limits!$A$2:$B$6,2,FALSE)</f>
        <v>5000</v>
      </c>
      <c r="I42" t="str">
        <f>IF(D42&gt;H42,"OVER","OK")</f>
        <v>OK</v>
      </c>
      <c r="J42" t="str">
        <f>IF(G42="","OK",IF(G42&lt;F42,"BAD_DATE","OK"))</f>
        <v>OK</v>
      </c>
    </row>
    <row r="43">
      <c r="A43" t="s">
        <v>65</v>
      </c>
      <c r="B43" t="s">
        <v>30</v>
      </c>
      <c r="C43" t="s">
        <v>4</v>
      </c>
      <c r="D43">
        <v>5579</v>
      </c>
      <c r="E43" t="s">
        <v>19</v>
      </c>
      <c r="F43" s="1">
        <f>DATE(2026,6,27)</f>
        <v>46200</v>
      </c>
      <c r="H43">
        <f>VLOOKUP($C43,Limits!$A$2:$B$6,2,FALSE)</f>
        <v>10000</v>
      </c>
      <c r="I43" t="str">
        <f>IF(D43&gt;H43,"OVER","OK")</f>
        <v>OK</v>
      </c>
      <c r="J43" t="str">
        <f>IF(G43="","OK",IF(G43&lt;F43,"BAD_DATE","OK"))</f>
        <v>OK</v>
      </c>
    </row>
    <row r="44">
      <c r="A44" t="s">
        <v>66</v>
      </c>
      <c r="B44" t="s">
        <v>30</v>
      </c>
      <c r="C44" t="s">
        <v>4</v>
      </c>
      <c r="D44">
        <v>7350</v>
      </c>
      <c r="E44" t="s">
        <v>19</v>
      </c>
      <c r="F44" s="1">
        <f>DATE(2026,1,23)</f>
        <v>46045</v>
      </c>
      <c r="H44">
        <f>VLOOKUP($C44,Limits!$A$2:$B$6,2,FALSE)</f>
        <v>10000</v>
      </c>
      <c r="I44" t="str">
        <f>IF(D44&gt;H44,"OVER","OK")</f>
        <v>OK</v>
      </c>
      <c r="J44" t="str">
        <f>IF(G44="","OK",IF(G44&lt;F44,"BAD_DATE","OK"))</f>
        <v>OK</v>
      </c>
    </row>
    <row r="45">
      <c r="A45" t="s">
        <v>67</v>
      </c>
      <c r="B45" t="s">
        <v>26</v>
      </c>
      <c r="C45" t="s">
        <v>6</v>
      </c>
      <c r="D45">
        <v>24150</v>
      </c>
      <c r="E45" t="s">
        <v>17</v>
      </c>
      <c r="F45" s="1">
        <f>DATE(2026,6,14)</f>
        <v>46187</v>
      </c>
      <c r="H45">
        <f>VLOOKUP($C45,Limits!$A$2:$B$6,2,FALSE)</f>
        <v>3000</v>
      </c>
      <c r="I45" t="str">
        <f>IF(D45&gt;H45,"OVER","OK")</f>
        <v>OVER</v>
      </c>
      <c r="J45" t="str">
        <f>IF(G45="","OK",IF(G45&lt;F45,"BAD_DATE","OK"))</f>
        <v>OK</v>
      </c>
    </row>
    <row r="46">
      <c r="A46" t="s">
        <v>68</v>
      </c>
      <c r="B46" t="s">
        <v>37</v>
      </c>
      <c r="C46" t="s">
        <v>3</v>
      </c>
      <c r="D46">
        <v>6180</v>
      </c>
      <c r="E46" t="s">
        <v>27</v>
      </c>
      <c r="F46" s="1">
        <f>DATE(2026,2,25)</f>
        <v>46078</v>
      </c>
      <c r="G46" s="1">
        <f>DATE(2026,2,26)</f>
        <v>46079</v>
      </c>
      <c r="H46">
        <f>VLOOKUP($C46,Limits!$A$2:$B$6,2,FALSE)</f>
        <v>20000</v>
      </c>
      <c r="I46" t="str">
        <f>IF(D46&gt;H46,"OVER","OK")</f>
        <v>OK</v>
      </c>
      <c r="J46" t="str">
        <f>IF(G46="","OK",IF(G46&lt;F46,"BAD_DATE","OK"))</f>
        <v>OK</v>
      </c>
    </row>
    <row r="47">
      <c r="A47" t="s">
        <v>69</v>
      </c>
      <c r="B47" t="s">
        <v>30</v>
      </c>
      <c r="C47" t="s">
        <v>3</v>
      </c>
      <c r="D47">
        <v>5148</v>
      </c>
      <c r="E47" t="s">
        <v>17</v>
      </c>
      <c r="F47" s="1">
        <f>DATE(2026,3,26)</f>
        <v>46107</v>
      </c>
      <c r="H47">
        <f>VLOOKUP($C47,Limits!$A$2:$B$6,2,FALSE)</f>
        <v>20000</v>
      </c>
      <c r="I47" t="str">
        <f>IF(D47&gt;H47,"OVER","OK")</f>
        <v>OK</v>
      </c>
      <c r="J47" t="str">
        <f>IF(G47="","OK",IF(G47&lt;F47,"BAD_DATE","OK"))</f>
        <v>OK</v>
      </c>
    </row>
    <row r="48">
      <c r="A48" t="s">
        <v>70</v>
      </c>
      <c r="B48" t="s">
        <v>37</v>
      </c>
      <c r="C48" t="s">
        <v>5</v>
      </c>
      <c r="D48">
        <v>12782</v>
      </c>
      <c r="E48" t="s">
        <v>17</v>
      </c>
      <c r="F48" s="1">
        <f>DATE(2026,5,18)</f>
        <v>46160</v>
      </c>
      <c r="H48">
        <f>VLOOKUP($C48,Limits!$A$2:$B$6,2,FALSE)</f>
        <v>15000</v>
      </c>
      <c r="I48" t="str">
        <f>IF(D48&gt;H48,"OVER","OK")</f>
        <v>OK</v>
      </c>
      <c r="J48" t="str">
        <f>IF(G48="","OK",IF(G48&lt;F48,"BAD_DATE","OK"))</f>
        <v>OK</v>
      </c>
    </row>
    <row r="49">
      <c r="A49" t="s">
        <v>71</v>
      </c>
      <c r="B49" t="s">
        <v>37</v>
      </c>
      <c r="C49" t="s">
        <v>5</v>
      </c>
      <c r="D49">
        <v>15569</v>
      </c>
      <c r="E49" t="s">
        <v>27</v>
      </c>
      <c r="F49" s="1">
        <f>DATE(2026,4,9)</f>
        <v>46121</v>
      </c>
      <c r="G49" s="1">
        <f>DATE(2026,4,34)</f>
        <v>46146</v>
      </c>
      <c r="H49">
        <f>VLOOKUP($C49,Limits!$A$2:$B$6,2,FALSE)</f>
        <v>15000</v>
      </c>
      <c r="I49" t="str">
        <f>IF(D49&gt;H49,"OVER","OK")</f>
        <v>OVER</v>
      </c>
      <c r="J49" t="str">
        <f>IF(G49="","OK",IF(G49&lt;F49,"BAD_DATE","OK"))</f>
        <v>OK</v>
      </c>
    </row>
    <row r="50">
      <c r="A50" t="s">
        <v>72</v>
      </c>
      <c r="B50" t="s">
        <v>37</v>
      </c>
      <c r="C50" t="s">
        <v>2</v>
      </c>
      <c r="D50">
        <v>11355</v>
      </c>
      <c r="E50" t="s">
        <v>17</v>
      </c>
      <c r="F50" s="1">
        <f>DATE(2026,2,26)</f>
        <v>46079</v>
      </c>
      <c r="H50">
        <f>VLOOKUP($C50,Limits!$A$2:$B$6,2,FALSE)</f>
        <v>5000</v>
      </c>
      <c r="I50" t="str">
        <f>IF(D50&gt;H50,"OVER","OK")</f>
        <v>OVER</v>
      </c>
      <c r="J50" t="str">
        <f>IF(G50="","OK",IF(G50&lt;F50,"BAD_DATE","OK"))</f>
        <v>OK</v>
      </c>
    </row>
    <row r="51">
      <c r="A51" t="s">
        <v>73</v>
      </c>
      <c r="B51" t="s">
        <v>26</v>
      </c>
      <c r="C51" t="s">
        <v>6</v>
      </c>
      <c r="D51">
        <v>15011</v>
      </c>
      <c r="E51" t="s">
        <v>27</v>
      </c>
      <c r="F51" s="1">
        <f>DATE(2026,5,11)</f>
        <v>46153</v>
      </c>
      <c r="G51" s="1">
        <f>DATE(2026,5,20)</f>
        <v>46162</v>
      </c>
      <c r="H51">
        <f>VLOOKUP($C51,Limits!$A$2:$B$6,2,FALSE)</f>
        <v>3000</v>
      </c>
      <c r="I51" t="str">
        <f>IF(D51&gt;H51,"OVER","OK")</f>
        <v>OVER</v>
      </c>
      <c r="J51" t="str">
        <f>IF(G51="","OK",IF(G51&lt;F51,"BAD_DATE","OK"))</f>
        <v>OK</v>
      </c>
    </row>
    <row r="52">
      <c r="A52" t="s">
        <v>74</v>
      </c>
      <c r="B52" t="s">
        <v>16</v>
      </c>
      <c r="C52" t="s">
        <v>6</v>
      </c>
      <c r="D52">
        <v>4862</v>
      </c>
      <c r="E52" t="s">
        <v>19</v>
      </c>
      <c r="F52" s="1">
        <f>DATE(2026,4,14)</f>
        <v>46126</v>
      </c>
      <c r="H52">
        <f>VLOOKUP($C52,Limits!$A$2:$B$6,2,FALSE)</f>
        <v>3000</v>
      </c>
      <c r="I52" t="str">
        <f>IF(D52&gt;H52,"OVER","OK")</f>
        <v>OVER</v>
      </c>
      <c r="J52" t="str">
        <f>IF(G52="","OK",IF(G52&lt;F52,"BAD_DATE","OK"))</f>
        <v>OK</v>
      </c>
    </row>
    <row r="53">
      <c r="A53" t="s">
        <v>75</v>
      </c>
      <c r="B53" t="s">
        <v>30</v>
      </c>
      <c r="C53" t="s">
        <v>4</v>
      </c>
      <c r="D53">
        <v>9176</v>
      </c>
      <c r="E53" t="s">
        <v>19</v>
      </c>
      <c r="F53" s="1">
        <f>DATE(2026,2,5)</f>
        <v>46058</v>
      </c>
      <c r="H53">
        <f>VLOOKUP($C53,Limits!$A$2:$B$6,2,FALSE)</f>
        <v>10000</v>
      </c>
      <c r="I53" t="str">
        <f>IF(D53&gt;H53,"OVER","OK")</f>
        <v>OK</v>
      </c>
      <c r="J53" t="str">
        <f>IF(G53="","OK",IF(G53&lt;F53,"BAD_DATE","OK"))</f>
        <v>OK</v>
      </c>
    </row>
    <row r="54">
      <c r="A54" t="s">
        <v>76</v>
      </c>
      <c r="B54" t="s">
        <v>16</v>
      </c>
      <c r="C54" t="s">
        <v>3</v>
      </c>
      <c r="D54">
        <v>5038</v>
      </c>
      <c r="E54" t="s">
        <v>27</v>
      </c>
      <c r="F54" s="1">
        <f>DATE(2026,2,5)</f>
        <v>46058</v>
      </c>
      <c r="G54" s="1">
        <f>DATE(2026,2,18)</f>
        <v>46071</v>
      </c>
      <c r="H54">
        <f>VLOOKUP($C54,Limits!$A$2:$B$6,2,FALSE)</f>
        <v>20000</v>
      </c>
      <c r="I54" t="str">
        <f>IF(D54&gt;H54,"OVER","OK")</f>
        <v>OK</v>
      </c>
      <c r="J54" t="str">
        <f>IF(G54="","OK",IF(G54&lt;F54,"BAD_DATE","OK"))</f>
        <v>OK</v>
      </c>
    </row>
    <row r="55">
      <c r="A55" t="s">
        <v>77</v>
      </c>
      <c r="B55" t="s">
        <v>26</v>
      </c>
      <c r="C55" t="s">
        <v>2</v>
      </c>
      <c r="D55">
        <v>809</v>
      </c>
      <c r="E55" t="s">
        <v>19</v>
      </c>
      <c r="F55" s="1">
        <f>DATE(2026,5,11)</f>
        <v>46153</v>
      </c>
      <c r="H55">
        <f>VLOOKUP($C55,Limits!$A$2:$B$6,2,FALSE)</f>
        <v>5000</v>
      </c>
      <c r="I55" t="str">
        <f>IF(D55&gt;H55,"OVER","OK")</f>
        <v>OK</v>
      </c>
      <c r="J55" t="str">
        <f>IF(G55="","OK",IF(G55&lt;F55,"BAD_DATE","OK"))</f>
        <v>OK</v>
      </c>
    </row>
    <row r="56">
      <c r="A56" t="s">
        <v>78</v>
      </c>
      <c r="B56" t="s">
        <v>16</v>
      </c>
      <c r="C56" t="s">
        <v>6</v>
      </c>
      <c r="D56">
        <v>19967</v>
      </c>
      <c r="E56" t="s">
        <v>19</v>
      </c>
      <c r="F56" s="1">
        <f>DATE(2026,3,15)</f>
        <v>46096</v>
      </c>
      <c r="H56">
        <f>VLOOKUP($C56,Limits!$A$2:$B$6,2,FALSE)</f>
        <v>3000</v>
      </c>
      <c r="I56" t="str">
        <f>IF(D56&gt;H56,"OVER","OK")</f>
        <v>OVER</v>
      </c>
      <c r="J56" t="str">
        <f>IF(G56="","OK",IF(G56&lt;F56,"BAD_DATE","OK"))</f>
        <v>OK</v>
      </c>
    </row>
    <row r="57">
      <c r="A57" t="s">
        <v>79</v>
      </c>
      <c r="B57" t="s">
        <v>37</v>
      </c>
      <c r="C57" t="s">
        <v>2</v>
      </c>
      <c r="D57">
        <v>11844</v>
      </c>
      <c r="E57" t="s">
        <v>27</v>
      </c>
      <c r="F57" s="1">
        <f>DATE(2026,3,8)</f>
        <v>46089</v>
      </c>
      <c r="G57" s="1">
        <f>DATE(2026,3,37)</f>
        <v>46118</v>
      </c>
      <c r="H57">
        <f>VLOOKUP($C57,Limits!$A$2:$B$6,2,FALSE)</f>
        <v>5000</v>
      </c>
      <c r="I57" t="str">
        <f>IF(D57&gt;H57,"OVER","OK")</f>
        <v>OVER</v>
      </c>
      <c r="J57" t="str">
        <f>IF(G57="","OK",IF(G57&lt;F57,"BAD_DATE","OK"))</f>
        <v>OK</v>
      </c>
    </row>
    <row r="58">
      <c r="A58" t="s">
        <v>80</v>
      </c>
      <c r="B58" t="s">
        <v>37</v>
      </c>
      <c r="C58" t="s">
        <v>5</v>
      </c>
      <c r="D58">
        <v>22798</v>
      </c>
      <c r="E58" t="s">
        <v>27</v>
      </c>
      <c r="F58" s="1">
        <f>DATE(2026,2,27)</f>
        <v>46080</v>
      </c>
      <c r="G58" s="1">
        <f>DATE(2026,2,44)</f>
        <v>46097</v>
      </c>
      <c r="H58">
        <f>VLOOKUP($C58,Limits!$A$2:$B$6,2,FALSE)</f>
        <v>15000</v>
      </c>
      <c r="I58" t="str">
        <f>IF(D58&gt;H58,"OVER","OK")</f>
        <v>OVER</v>
      </c>
      <c r="J58" t="str">
        <f>IF(G58="","OK",IF(G58&lt;F58,"BAD_DATE","OK"))</f>
        <v>OK</v>
      </c>
    </row>
    <row r="59">
      <c r="A59" t="s">
        <v>81</v>
      </c>
      <c r="B59" t="s">
        <v>16</v>
      </c>
      <c r="C59" t="s">
        <v>5</v>
      </c>
      <c r="D59">
        <v>6263</v>
      </c>
      <c r="E59" t="s">
        <v>22</v>
      </c>
      <c r="F59" s="1">
        <f>DATE(2026,5,10)</f>
        <v>46152</v>
      </c>
      <c r="G59" s="1">
        <f>DATE(2026,5,17)</f>
        <v>46159</v>
      </c>
      <c r="H59">
        <f>VLOOKUP($C59,Limits!$A$2:$B$6,2,FALSE)</f>
        <v>15000</v>
      </c>
      <c r="I59" t="str">
        <f>IF(D59&gt;H59,"OVER","OK")</f>
        <v>OK</v>
      </c>
      <c r="J59" t="str">
        <f>IF(G59="","OK",IF(G59&lt;F59,"BAD_DATE","OK"))</f>
        <v>OK</v>
      </c>
    </row>
    <row r="60">
      <c r="A60" t="s">
        <v>82</v>
      </c>
      <c r="B60" t="s">
        <v>21</v>
      </c>
      <c r="C60" t="s">
        <v>6</v>
      </c>
      <c r="D60">
        <v>16621</v>
      </c>
      <c r="E60" t="s">
        <v>19</v>
      </c>
      <c r="F60" s="1">
        <f>DATE(2026,1,9)</f>
        <v>46031</v>
      </c>
      <c r="H60">
        <f>VLOOKUP($C60,Limits!$A$2:$B$6,2,FALSE)</f>
        <v>3000</v>
      </c>
      <c r="I60" t="str">
        <f>IF(D60&gt;H60,"OVER","OK")</f>
        <v>OVER</v>
      </c>
      <c r="J60" t="str">
        <f>IF(G60="","OK",IF(G60&lt;F60,"BAD_DATE","OK"))</f>
        <v>OK</v>
      </c>
    </row>
    <row r="61">
      <c r="A61" t="s">
        <v>83</v>
      </c>
      <c r="B61" t="s">
        <v>26</v>
      </c>
      <c r="C61" t="s">
        <v>2</v>
      </c>
      <c r="D61">
        <v>4781</v>
      </c>
      <c r="E61" t="s">
        <v>17</v>
      </c>
      <c r="F61" s="1">
        <f>DATE(2026,2,8)</f>
        <v>46061</v>
      </c>
      <c r="H61">
        <f>VLOOKUP($C61,Limits!$A$2:$B$6,2,FALSE)</f>
        <v>5000</v>
      </c>
      <c r="I61" t="str">
        <f>IF(D61&gt;H61,"OVER","OK")</f>
        <v>OK</v>
      </c>
      <c r="J61" t="str">
        <f>IF(G61="","OK",IF(G61&lt;F61,"BAD_DATE","OK"))</f>
        <v>OK</v>
      </c>
    </row>
    <row r="62">
      <c r="A62" t="s">
        <v>84</v>
      </c>
      <c r="B62" t="s">
        <v>26</v>
      </c>
      <c r="C62" t="s">
        <v>4</v>
      </c>
      <c r="D62">
        <v>15360</v>
      </c>
      <c r="E62" t="s">
        <v>22</v>
      </c>
      <c r="F62" s="1">
        <f>DATE(2026,5,14)</f>
        <v>46156</v>
      </c>
      <c r="G62" s="1">
        <f>DATE(2026,5,27)</f>
        <v>46169</v>
      </c>
      <c r="H62">
        <f>VLOOKUP($C62,Limits!$A$2:$B$6,2,FALSE)</f>
        <v>10000</v>
      </c>
      <c r="I62" t="str">
        <f>IF(D62&gt;H62,"OVER","OK")</f>
        <v>OVER</v>
      </c>
      <c r="J62" t="str">
        <f>IF(G62="","OK",IF(G62&lt;F62,"BAD_DATE","OK"))</f>
        <v>OK</v>
      </c>
    </row>
    <row r="63">
      <c r="A63" t="s">
        <v>85</v>
      </c>
      <c r="B63" t="s">
        <v>37</v>
      </c>
      <c r="C63" t="s">
        <v>2</v>
      </c>
      <c r="D63">
        <v>9513</v>
      </c>
      <c r="E63" t="s">
        <v>27</v>
      </c>
      <c r="F63" s="1">
        <f>DATE(2026,5,28)</f>
        <v>46170</v>
      </c>
      <c r="G63" s="1">
        <f>DATE(2026,5,57)</f>
        <v>46199</v>
      </c>
      <c r="H63">
        <f>VLOOKUP($C63,Limits!$A$2:$B$6,2,FALSE)</f>
        <v>5000</v>
      </c>
      <c r="I63" t="str">
        <f>IF(D63&gt;H63,"OVER","OK")</f>
        <v>OVER</v>
      </c>
      <c r="J63" t="str">
        <f>IF(G63="","OK",IF(G63&lt;F63,"BAD_DATE","OK"))</f>
        <v>OK</v>
      </c>
    </row>
    <row r="64">
      <c r="A64" t="s">
        <v>86</v>
      </c>
      <c r="B64" t="s">
        <v>16</v>
      </c>
      <c r="C64" t="s">
        <v>5</v>
      </c>
      <c r="D64">
        <v>23675</v>
      </c>
      <c r="E64" t="s">
        <v>22</v>
      </c>
      <c r="F64" s="1">
        <f>DATE(2026,4,25)</f>
        <v>46137</v>
      </c>
      <c r="G64" s="1">
        <f>DATE(2026,4,48)</f>
        <v>46160</v>
      </c>
      <c r="H64">
        <f>VLOOKUP($C64,Limits!$A$2:$B$6,2,FALSE)</f>
        <v>15000</v>
      </c>
      <c r="I64" t="str">
        <f>IF(D64&gt;H64,"OVER","OK")</f>
        <v>OVER</v>
      </c>
      <c r="J64" t="str">
        <f>IF(G64="","OK",IF(G64&lt;F64,"BAD_DATE","OK"))</f>
        <v>OK</v>
      </c>
    </row>
    <row r="65">
      <c r="A65" t="s">
        <v>87</v>
      </c>
      <c r="B65" t="s">
        <v>30</v>
      </c>
      <c r="C65" t="s">
        <v>3</v>
      </c>
      <c r="D65">
        <v>6937</v>
      </c>
      <c r="E65" t="s">
        <v>22</v>
      </c>
      <c r="F65" s="1">
        <f>DATE(2026,6,6)</f>
        <v>46179</v>
      </c>
      <c r="G65" s="1">
        <f>DATE(2026,6,26)</f>
        <v>46199</v>
      </c>
      <c r="H65">
        <f>VLOOKUP($C65,Limits!$A$2:$B$6,2,FALSE)</f>
        <v>20000</v>
      </c>
      <c r="I65" t="str">
        <f>IF(D65&gt;H65,"OVER","OK")</f>
        <v>OK</v>
      </c>
      <c r="J65" t="str">
        <f>IF(G65="","OK",IF(G65&lt;F65,"BAD_DATE","OK"))</f>
        <v>OK</v>
      </c>
    </row>
    <row r="66">
      <c r="A66" t="s">
        <v>88</v>
      </c>
      <c r="B66" t="s">
        <v>26</v>
      </c>
      <c r="C66" t="s">
        <v>4</v>
      </c>
      <c r="D66">
        <v>22846</v>
      </c>
      <c r="E66" t="s">
        <v>19</v>
      </c>
      <c r="F66" s="1">
        <f>DATE(2026,5,11)</f>
        <v>46153</v>
      </c>
      <c r="H66">
        <f>VLOOKUP($C66,Limits!$A$2:$B$6,2,FALSE)</f>
        <v>10000</v>
      </c>
      <c r="I66" t="str">
        <f>IF(D66&gt;H66,"OVER","OK")</f>
        <v>OVER</v>
      </c>
      <c r="J66" t="str">
        <f>IF(G66="","OK",IF(G66&lt;F66,"BAD_DATE","OK"))</f>
        <v>OK</v>
      </c>
    </row>
    <row r="67">
      <c r="A67" t="s">
        <v>89</v>
      </c>
      <c r="B67" t="s">
        <v>30</v>
      </c>
      <c r="C67" t="s">
        <v>4</v>
      </c>
      <c r="D67">
        <v>3924</v>
      </c>
      <c r="E67" t="s">
        <v>19</v>
      </c>
      <c r="F67" s="1">
        <f>DATE(2026,3,8)</f>
        <v>46089</v>
      </c>
      <c r="H67">
        <f>VLOOKUP($C67,Limits!$A$2:$B$6,2,FALSE)</f>
        <v>10000</v>
      </c>
      <c r="I67" t="str">
        <f>IF(D67&gt;H67,"OVER","OK")</f>
        <v>OK</v>
      </c>
      <c r="J67" t="str">
        <f>IF(G67="","OK",IF(G67&lt;F67,"BAD_DATE","OK"))</f>
        <v>OK</v>
      </c>
    </row>
    <row r="68">
      <c r="A68" t="s">
        <v>90</v>
      </c>
      <c r="B68" t="s">
        <v>26</v>
      </c>
      <c r="C68" t="s">
        <v>3</v>
      </c>
      <c r="D68">
        <v>2522</v>
      </c>
      <c r="E68" t="s">
        <v>22</v>
      </c>
      <c r="F68" s="1">
        <f>DATE(2026,5,6)</f>
        <v>46148</v>
      </c>
      <c r="G68" s="1">
        <f>DATE(2026,5,31)</f>
        <v>46173</v>
      </c>
      <c r="H68">
        <f>VLOOKUP($C68,Limits!$A$2:$B$6,2,FALSE)</f>
        <v>20000</v>
      </c>
      <c r="I68" t="str">
        <f>IF(D68&gt;H68,"OVER","OK")</f>
        <v>OK</v>
      </c>
      <c r="J68" t="str">
        <f>IF(G68="","OK",IF(G68&lt;F68,"BAD_DATE","OK"))</f>
        <v>OK</v>
      </c>
    </row>
    <row r="69">
      <c r="A69" t="s">
        <v>91</v>
      </c>
      <c r="B69" t="s">
        <v>30</v>
      </c>
      <c r="C69" t="s">
        <v>5</v>
      </c>
      <c r="D69">
        <v>7742</v>
      </c>
      <c r="E69" t="s">
        <v>27</v>
      </c>
      <c r="F69" s="1">
        <f>DATE(2026,5,16)</f>
        <v>46158</v>
      </c>
      <c r="G69" s="1">
        <f>DATE(2026,5,27)</f>
        <v>46169</v>
      </c>
      <c r="H69">
        <f>VLOOKUP($C69,Limits!$A$2:$B$6,2,FALSE)</f>
        <v>15000</v>
      </c>
      <c r="I69" t="str">
        <f>IF(D69&gt;H69,"OVER","OK")</f>
        <v>OK</v>
      </c>
      <c r="J69" t="str">
        <f>IF(G69="","OK",IF(G69&lt;F69,"BAD_DATE","OK"))</f>
        <v>OK</v>
      </c>
    </row>
    <row r="70">
      <c r="A70" t="s">
        <v>92</v>
      </c>
      <c r="B70" t="s">
        <v>30</v>
      </c>
      <c r="C70" t="s">
        <v>6</v>
      </c>
      <c r="D70">
        <v>9190</v>
      </c>
      <c r="E70" t="s">
        <v>27</v>
      </c>
      <c r="F70" s="1">
        <f>DATE(2026,4,20)</f>
        <v>46132</v>
      </c>
      <c r="G70" s="1">
        <f>DATE(2026,4,42)</f>
        <v>46154</v>
      </c>
      <c r="H70">
        <f>VLOOKUP($C70,Limits!$A$2:$B$6,2,FALSE)</f>
        <v>3000</v>
      </c>
      <c r="I70" t="str">
        <f>IF(D70&gt;H70,"OVER","OK")</f>
        <v>OVER</v>
      </c>
      <c r="J70" t="str">
        <f>IF(G70="","OK",IF(G70&lt;F70,"BAD_DATE","OK"))</f>
        <v>OK</v>
      </c>
    </row>
    <row r="71">
      <c r="A71" t="s">
        <v>93</v>
      </c>
      <c r="B71" t="s">
        <v>37</v>
      </c>
      <c r="C71" t="s">
        <v>5</v>
      </c>
      <c r="D71">
        <v>8530</v>
      </c>
      <c r="E71" t="s">
        <v>17</v>
      </c>
      <c r="F71" s="1">
        <f>DATE(2026,2,26)</f>
        <v>46079</v>
      </c>
      <c r="H71">
        <f>VLOOKUP($C71,Limits!$A$2:$B$6,2,FALSE)</f>
        <v>15000</v>
      </c>
      <c r="I71" t="str">
        <f>IF(D71&gt;H71,"OVER","OK")</f>
        <v>OK</v>
      </c>
      <c r="J71" t="str">
        <f>IF(G71="","OK",IF(G71&lt;F71,"BAD_DATE","OK"))</f>
        <v>OK</v>
      </c>
    </row>
    <row r="72">
      <c r="A72" t="s">
        <v>94</v>
      </c>
      <c r="B72" t="s">
        <v>37</v>
      </c>
      <c r="C72" t="s">
        <v>5</v>
      </c>
      <c r="D72">
        <v>4224</v>
      </c>
      <c r="E72" t="s">
        <v>17</v>
      </c>
      <c r="F72" s="1">
        <f>DATE(2026,4,23)</f>
        <v>46135</v>
      </c>
      <c r="H72">
        <f>VLOOKUP($C72,Limits!$A$2:$B$6,2,FALSE)</f>
        <v>15000</v>
      </c>
      <c r="I72" t="str">
        <f>IF(D72&gt;H72,"OVER","OK")</f>
        <v>OK</v>
      </c>
      <c r="J72" t="str">
        <f>IF(G72="","OK",IF(G72&lt;F72,"BAD_DATE","OK"))</f>
        <v>OK</v>
      </c>
    </row>
    <row r="73">
      <c r="A73" t="s">
        <v>95</v>
      </c>
      <c r="B73" t="s">
        <v>21</v>
      </c>
      <c r="C73" t="s">
        <v>3</v>
      </c>
      <c r="D73">
        <v>4935</v>
      </c>
      <c r="E73" t="s">
        <v>17</v>
      </c>
      <c r="F73" s="1">
        <f>DATE(2026,5,24)</f>
        <v>46166</v>
      </c>
      <c r="H73">
        <f>VLOOKUP($C73,Limits!$A$2:$B$6,2,FALSE)</f>
        <v>20000</v>
      </c>
      <c r="I73" t="str">
        <f>IF(D73&gt;H73,"OVER","OK")</f>
        <v>OK</v>
      </c>
      <c r="J73" t="str">
        <f>IF(G73="","OK",IF(G73&lt;F73,"BAD_DATE","OK"))</f>
        <v>OK</v>
      </c>
    </row>
    <row r="74">
      <c r="A74" t="s">
        <v>96</v>
      </c>
      <c r="B74" t="s">
        <v>37</v>
      </c>
      <c r="C74" t="s">
        <v>5</v>
      </c>
      <c r="D74">
        <v>23799</v>
      </c>
      <c r="E74" t="s">
        <v>19</v>
      </c>
      <c r="F74" s="1">
        <f>DATE(2026,6,13)</f>
        <v>46186</v>
      </c>
      <c r="H74">
        <f>VLOOKUP($C74,Limits!$A$2:$B$6,2,FALSE)</f>
        <v>15000</v>
      </c>
      <c r="I74" t="str">
        <f>IF(D74&gt;H74,"OVER","OK")</f>
        <v>OVER</v>
      </c>
      <c r="J74" t="str">
        <f>IF(G74="","OK",IF(G74&lt;F74,"BAD_DATE","OK"))</f>
        <v>OK</v>
      </c>
    </row>
    <row r="75">
      <c r="A75" t="s">
        <v>97</v>
      </c>
      <c r="B75" t="s">
        <v>21</v>
      </c>
      <c r="C75" t="s">
        <v>5</v>
      </c>
      <c r="D75">
        <v>597</v>
      </c>
      <c r="E75" t="s">
        <v>22</v>
      </c>
      <c r="F75" s="1">
        <f>DATE(2026,2,17)</f>
        <v>46070</v>
      </c>
      <c r="G75" s="1">
        <f>DATE(2026,2,31)</f>
        <v>46084</v>
      </c>
      <c r="H75">
        <f>VLOOKUP($C75,Limits!$A$2:$B$6,2,FALSE)</f>
        <v>15000</v>
      </c>
      <c r="I75" t="str">
        <f>IF(D75&gt;H75,"OVER","OK")</f>
        <v>OK</v>
      </c>
      <c r="J75" t="str">
        <f>IF(G75="","OK",IF(G75&lt;F75,"BAD_DATE","OK"))</f>
        <v>OK</v>
      </c>
    </row>
    <row r="76">
      <c r="A76" t="s">
        <v>98</v>
      </c>
      <c r="B76" t="s">
        <v>37</v>
      </c>
      <c r="C76" t="s">
        <v>3</v>
      </c>
      <c r="D76">
        <v>459</v>
      </c>
      <c r="E76" t="s">
        <v>22</v>
      </c>
      <c r="F76" s="1">
        <f>DATE(2026,1,15)</f>
        <v>46037</v>
      </c>
      <c r="G76" s="1">
        <f>DATE(2026,1,44)</f>
        <v>46066</v>
      </c>
      <c r="H76">
        <f>VLOOKUP($C76,Limits!$A$2:$B$6,2,FALSE)</f>
        <v>20000</v>
      </c>
      <c r="I76" t="str">
        <f>IF(D76&gt;H76,"OVER","OK")</f>
        <v>OK</v>
      </c>
      <c r="J76" t="str">
        <f>IF(G76="","OK",IF(G76&lt;F76,"BAD_DATE","OK"))</f>
        <v>OK</v>
      </c>
    </row>
    <row r="77">
      <c r="A77" t="s">
        <v>99</v>
      </c>
      <c r="B77" t="s">
        <v>16</v>
      </c>
      <c r="C77" t="s">
        <v>6</v>
      </c>
      <c r="D77">
        <v>13815</v>
      </c>
      <c r="E77" t="s">
        <v>17</v>
      </c>
      <c r="F77" s="1">
        <f>DATE(2026,1,6)</f>
        <v>46028</v>
      </c>
      <c r="H77">
        <f>VLOOKUP($C77,Limits!$A$2:$B$6,2,FALSE)</f>
        <v>3000</v>
      </c>
      <c r="I77" t="str">
        <f>IF(D77&gt;H77,"OVER","OK")</f>
        <v>OVER</v>
      </c>
      <c r="J77" t="str">
        <f>IF(G77="","OK",IF(G77&lt;F77,"BAD_DATE","OK"))</f>
        <v>OK</v>
      </c>
    </row>
    <row r="78">
      <c r="A78" t="s">
        <v>100</v>
      </c>
      <c r="B78" t="s">
        <v>16</v>
      </c>
      <c r="C78" t="s">
        <v>4</v>
      </c>
      <c r="D78">
        <v>11758</v>
      </c>
      <c r="E78" t="s">
        <v>19</v>
      </c>
      <c r="F78" s="1">
        <f>DATE(2026,5,12)</f>
        <v>46154</v>
      </c>
      <c r="H78">
        <f>VLOOKUP($C78,Limits!$A$2:$B$6,2,FALSE)</f>
        <v>10000</v>
      </c>
      <c r="I78" t="str">
        <f>IF(D78&gt;H78,"OVER","OK")</f>
        <v>OVER</v>
      </c>
      <c r="J78" t="str">
        <f>IF(G78="","OK",IF(G78&lt;F78,"BAD_DATE","OK"))</f>
        <v>OK</v>
      </c>
    </row>
    <row r="79">
      <c r="A79" t="s">
        <v>101</v>
      </c>
      <c r="B79" t="s">
        <v>37</v>
      </c>
      <c r="C79" t="s">
        <v>3</v>
      </c>
      <c r="D79">
        <v>12462</v>
      </c>
      <c r="E79" t="s">
        <v>17</v>
      </c>
      <c r="F79" s="1">
        <f>DATE(2026,4,19)</f>
        <v>46131</v>
      </c>
      <c r="H79">
        <f>VLOOKUP($C79,Limits!$A$2:$B$6,2,FALSE)</f>
        <v>20000</v>
      </c>
      <c r="I79" t="str">
        <f>IF(D79&gt;H79,"OVER","OK")</f>
        <v>OK</v>
      </c>
      <c r="J79" t="str">
        <f>IF(G79="","OK",IF(G79&lt;F79,"BAD_DATE","OK"))</f>
        <v>OK</v>
      </c>
    </row>
    <row r="80">
      <c r="A80" t="s">
        <v>102</v>
      </c>
      <c r="B80" t="s">
        <v>21</v>
      </c>
      <c r="C80" t="s">
        <v>4</v>
      </c>
      <c r="D80">
        <v>11409</v>
      </c>
      <c r="E80" t="s">
        <v>17</v>
      </c>
      <c r="F80" s="1">
        <f>DATE(2026,5,8)</f>
        <v>46150</v>
      </c>
      <c r="H80">
        <f>VLOOKUP($C80,Limits!$A$2:$B$6,2,FALSE)</f>
        <v>10000</v>
      </c>
      <c r="I80" t="str">
        <f>IF(D80&gt;H80,"OVER","OK")</f>
        <v>OVER</v>
      </c>
      <c r="J80" t="str">
        <f>IF(G80="","OK",IF(G80&lt;F80,"BAD_DATE","OK"))</f>
        <v>OK</v>
      </c>
    </row>
    <row r="81">
      <c r="A81" t="s">
        <v>103</v>
      </c>
      <c r="B81" t="s">
        <v>37</v>
      </c>
      <c r="C81" t="s">
        <v>6</v>
      </c>
      <c r="D81">
        <v>18386</v>
      </c>
      <c r="E81" t="s">
        <v>27</v>
      </c>
      <c r="F81" s="1">
        <f>DATE(2026,3,13)</f>
        <v>46094</v>
      </c>
      <c r="G81" s="1">
        <f>DATE(2026,3,36)</f>
        <v>46117</v>
      </c>
      <c r="H81">
        <f>VLOOKUP($C81,Limits!$A$2:$B$6,2,FALSE)</f>
        <v>3000</v>
      </c>
      <c r="I81" t="str">
        <f>IF(D81&gt;H81,"OVER","OK")</f>
        <v>OVER</v>
      </c>
      <c r="J81" t="str">
        <f>IF(G81="","OK",IF(G81&lt;F81,"BAD_DATE","OK"))</f>
        <v>OK</v>
      </c>
    </row>
    <row r="82">
      <c r="A82" t="s">
        <v>104</v>
      </c>
      <c r="B82" t="s">
        <v>30</v>
      </c>
      <c r="C82" t="s">
        <v>5</v>
      </c>
      <c r="D82">
        <v>6173</v>
      </c>
      <c r="E82" t="s">
        <v>22</v>
      </c>
      <c r="F82" s="1">
        <f>DATE(2026,5,4)</f>
        <v>46146</v>
      </c>
      <c r="G82" s="1">
        <f>DATE(2026,5,17)</f>
        <v>46159</v>
      </c>
      <c r="H82">
        <f>VLOOKUP($C82,Limits!$A$2:$B$6,2,FALSE)</f>
        <v>15000</v>
      </c>
      <c r="I82" t="str">
        <f>IF(D82&gt;H82,"OVER","OK")</f>
        <v>OK</v>
      </c>
      <c r="J82" t="str">
        <f>IF(G82="","OK",IF(G82&lt;F82,"BAD_DATE","OK"))</f>
        <v>OK</v>
      </c>
    </row>
    <row r="83">
      <c r="A83" t="s">
        <v>105</v>
      </c>
      <c r="B83" t="s">
        <v>37</v>
      </c>
      <c r="C83" t="s">
        <v>5</v>
      </c>
      <c r="D83">
        <v>21386</v>
      </c>
      <c r="E83" t="s">
        <v>17</v>
      </c>
      <c r="F83" s="1">
        <f>DATE(2026,5,3)</f>
        <v>46145</v>
      </c>
      <c r="H83">
        <f>VLOOKUP($C83,Limits!$A$2:$B$6,2,FALSE)</f>
        <v>15000</v>
      </c>
      <c r="I83" t="str">
        <f>IF(D83&gt;H83,"OVER","OK")</f>
        <v>OVER</v>
      </c>
      <c r="J83" t="str">
        <f>IF(G83="","OK",IF(G83&lt;F83,"BAD_DATE","OK"))</f>
        <v>OK</v>
      </c>
    </row>
    <row r="84">
      <c r="A84" t="s">
        <v>106</v>
      </c>
      <c r="B84" t="s">
        <v>37</v>
      </c>
      <c r="C84" t="s">
        <v>4</v>
      </c>
      <c r="D84">
        <v>2532</v>
      </c>
      <c r="E84" t="s">
        <v>22</v>
      </c>
      <c r="F84" s="1">
        <f>DATE(2026,5,10)</f>
        <v>46152</v>
      </c>
      <c r="G84" s="1">
        <f>DATE(2026,5,26)</f>
        <v>46168</v>
      </c>
      <c r="H84">
        <f>VLOOKUP($C84,Limits!$A$2:$B$6,2,FALSE)</f>
        <v>10000</v>
      </c>
      <c r="I84" t="str">
        <f>IF(D84&gt;H84,"OVER","OK")</f>
        <v>OK</v>
      </c>
      <c r="J84" t="str">
        <f>IF(G84="","OK",IF(G84&lt;F84,"BAD_DATE","OK"))</f>
        <v>OK</v>
      </c>
    </row>
    <row r="85">
      <c r="A85" t="s">
        <v>107</v>
      </c>
      <c r="B85" t="s">
        <v>30</v>
      </c>
      <c r="C85" t="s">
        <v>6</v>
      </c>
      <c r="D85">
        <v>11199</v>
      </c>
      <c r="E85" t="s">
        <v>19</v>
      </c>
      <c r="F85" s="1">
        <f>DATE(2026,1,15)</f>
        <v>46037</v>
      </c>
      <c r="H85">
        <f>VLOOKUP($C85,Limits!$A$2:$B$6,2,FALSE)</f>
        <v>3000</v>
      </c>
      <c r="I85" t="str">
        <f>IF(D85&gt;H85,"OVER","OK")</f>
        <v>OVER</v>
      </c>
      <c r="J85" t="str">
        <f>IF(G85="","OK",IF(G85&lt;F85,"BAD_DATE","OK"))</f>
        <v>OK</v>
      </c>
    </row>
    <row r="86">
      <c r="A86" t="s">
        <v>108</v>
      </c>
      <c r="B86" t="s">
        <v>21</v>
      </c>
      <c r="C86" t="s">
        <v>2</v>
      </c>
      <c r="D86">
        <v>6358</v>
      </c>
      <c r="E86" t="s">
        <v>27</v>
      </c>
      <c r="F86" s="1">
        <f>DATE(2026,5,20)</f>
        <v>46162</v>
      </c>
      <c r="G86" s="1">
        <f>DATE(2026,5,24)</f>
        <v>46166</v>
      </c>
      <c r="H86">
        <f>VLOOKUP($C86,Limits!$A$2:$B$6,2,FALSE)</f>
        <v>5000</v>
      </c>
      <c r="I86" t="str">
        <f>IF(D86&gt;H86,"OVER","OK")</f>
        <v>OVER</v>
      </c>
      <c r="J86" t="str">
        <f>IF(G86="","OK",IF(G86&lt;F86,"BAD_DATE","OK"))</f>
        <v>OK</v>
      </c>
    </row>
    <row r="87">
      <c r="A87" t="s">
        <v>109</v>
      </c>
      <c r="B87" t="s">
        <v>16</v>
      </c>
      <c r="C87" t="s">
        <v>4</v>
      </c>
      <c r="D87">
        <v>9923</v>
      </c>
      <c r="E87" t="s">
        <v>22</v>
      </c>
      <c r="F87" s="1">
        <f>DATE(2026,2,21)</f>
        <v>46074</v>
      </c>
      <c r="G87" s="1">
        <f>DATE(2026,2,39)</f>
        <v>46092</v>
      </c>
      <c r="H87">
        <f>VLOOKUP($C87,Limits!$A$2:$B$6,2,FALSE)</f>
        <v>10000</v>
      </c>
      <c r="I87" t="str">
        <f>IF(D87&gt;H87,"OVER","OK")</f>
        <v>OK</v>
      </c>
      <c r="J87" t="str">
        <f>IF(G87="","OK",IF(G87&lt;F87,"BAD_DATE","OK"))</f>
        <v>OK</v>
      </c>
    </row>
    <row r="88">
      <c r="A88" t="s">
        <v>110</v>
      </c>
      <c r="B88" t="s">
        <v>26</v>
      </c>
      <c r="C88" t="s">
        <v>5</v>
      </c>
      <c r="D88">
        <v>18853</v>
      </c>
      <c r="E88" t="s">
        <v>19</v>
      </c>
      <c r="F88" s="1">
        <f>DATE(2026,6,25)</f>
        <v>46198</v>
      </c>
      <c r="H88">
        <f>VLOOKUP($C88,Limits!$A$2:$B$6,2,FALSE)</f>
        <v>15000</v>
      </c>
      <c r="I88" t="str">
        <f>IF(D88&gt;H88,"OVER","OK")</f>
        <v>OVER</v>
      </c>
      <c r="J88" t="str">
        <f>IF(G88="","OK",IF(G88&lt;F88,"BAD_DATE","OK"))</f>
        <v>OK</v>
      </c>
    </row>
    <row r="89">
      <c r="A89" t="s">
        <v>111</v>
      </c>
      <c r="B89" t="s">
        <v>37</v>
      </c>
      <c r="C89" t="s">
        <v>4</v>
      </c>
      <c r="D89">
        <v>7058</v>
      </c>
      <c r="E89" t="s">
        <v>17</v>
      </c>
      <c r="F89" s="1">
        <f>DATE(2026,3,7)</f>
        <v>46088</v>
      </c>
      <c r="H89">
        <f>VLOOKUP($C89,Limits!$A$2:$B$6,2,FALSE)</f>
        <v>10000</v>
      </c>
      <c r="I89" t="str">
        <f>IF(D89&gt;H89,"OVER","OK")</f>
        <v>OK</v>
      </c>
      <c r="J89" t="str">
        <f>IF(G89="","OK",IF(G89&lt;F89,"BAD_DATE","OK"))</f>
        <v>OK</v>
      </c>
    </row>
    <row r="90">
      <c r="A90" t="s">
        <v>112</v>
      </c>
      <c r="B90" t="s">
        <v>21</v>
      </c>
      <c r="C90" t="s">
        <v>2</v>
      </c>
      <c r="D90">
        <v>19047</v>
      </c>
      <c r="E90" t="s">
        <v>17</v>
      </c>
      <c r="F90" s="1">
        <f>DATE(2026,5,1)</f>
        <v>46143</v>
      </c>
      <c r="H90">
        <f>VLOOKUP($C90,Limits!$A$2:$B$6,2,FALSE)</f>
        <v>5000</v>
      </c>
      <c r="I90" t="str">
        <f>IF(D90&gt;H90,"OVER","OK")</f>
        <v>OVER</v>
      </c>
      <c r="J90" t="str">
        <f>IF(G90="","OK",IF(G90&lt;F90,"BAD_DATE","OK"))</f>
        <v>OK</v>
      </c>
    </row>
    <row r="91">
      <c r="A91" t="s">
        <v>113</v>
      </c>
      <c r="B91" t="s">
        <v>21</v>
      </c>
      <c r="C91" t="s">
        <v>5</v>
      </c>
      <c r="D91">
        <v>14881</v>
      </c>
      <c r="E91" t="s">
        <v>17</v>
      </c>
      <c r="F91" s="1">
        <f>DATE(2026,1,23)</f>
        <v>46045</v>
      </c>
      <c r="H91">
        <f>VLOOKUP($C91,Limits!$A$2:$B$6,2,FALSE)</f>
        <v>15000</v>
      </c>
      <c r="I91" t="str">
        <f>IF(D91&gt;H91,"OVER","OK")</f>
        <v>OK</v>
      </c>
      <c r="J91" t="str">
        <f>IF(G91="","OK",IF(G91&lt;F91,"BAD_DATE","OK"))</f>
        <v>OK</v>
      </c>
    </row>
    <row r="92">
      <c r="A92" t="s">
        <v>114</v>
      </c>
      <c r="B92" t="s">
        <v>37</v>
      </c>
      <c r="C92" t="s">
        <v>5</v>
      </c>
      <c r="D92">
        <v>1850</v>
      </c>
      <c r="E92" t="s">
        <v>22</v>
      </c>
      <c r="F92" s="1">
        <f>DATE(2026,1,21)</f>
        <v>46043</v>
      </c>
      <c r="G92" s="1">
        <f>DATE(2026,1,32)</f>
        <v>46054</v>
      </c>
      <c r="H92">
        <f>VLOOKUP($C92,Limits!$A$2:$B$6,2,FALSE)</f>
        <v>15000</v>
      </c>
      <c r="I92" t="str">
        <f>IF(D92&gt;H92,"OVER","OK")</f>
        <v>OK</v>
      </c>
      <c r="J92" t="str">
        <f>IF(G92="","OK",IF(G92&lt;F92,"BAD_DATE","OK"))</f>
        <v>OK</v>
      </c>
    </row>
    <row r="93">
      <c r="A93" t="s">
        <v>115</v>
      </c>
      <c r="B93" t="s">
        <v>16</v>
      </c>
      <c r="C93" t="s">
        <v>2</v>
      </c>
      <c r="D93">
        <v>3815</v>
      </c>
      <c r="E93" t="s">
        <v>22</v>
      </c>
      <c r="F93" s="1">
        <f>DATE(2026,1,7)</f>
        <v>46029</v>
      </c>
      <c r="G93" s="1">
        <f>DATE(2026,1,26)</f>
        <v>46048</v>
      </c>
      <c r="H93">
        <f>VLOOKUP($C93,Limits!$A$2:$B$6,2,FALSE)</f>
        <v>5000</v>
      </c>
      <c r="I93" t="str">
        <f>IF(D93&gt;H93,"OVER","OK")</f>
        <v>OK</v>
      </c>
      <c r="J93" t="str">
        <f>IF(G93="","OK",IF(G93&lt;F93,"BAD_DATE","OK"))</f>
        <v>OK</v>
      </c>
    </row>
    <row r="94">
      <c r="A94" t="s">
        <v>116</v>
      </c>
      <c r="B94" t="s">
        <v>37</v>
      </c>
      <c r="C94" t="s">
        <v>4</v>
      </c>
      <c r="D94">
        <v>24962</v>
      </c>
      <c r="E94" t="s">
        <v>17</v>
      </c>
      <c r="F94" s="1">
        <f>DATE(2026,2,4)</f>
        <v>46057</v>
      </c>
      <c r="H94">
        <f>VLOOKUP($C94,Limits!$A$2:$B$6,2,FALSE)</f>
        <v>10000</v>
      </c>
      <c r="I94" t="str">
        <f>IF(D94&gt;H94,"OVER","OK")</f>
        <v>OVER</v>
      </c>
      <c r="J94" t="str">
        <f>IF(G94="","OK",IF(G94&lt;F94,"BAD_DATE","OK"))</f>
        <v>OK</v>
      </c>
    </row>
    <row r="95">
      <c r="A95" t="s">
        <v>117</v>
      </c>
      <c r="B95" t="s">
        <v>26</v>
      </c>
      <c r="C95" t="s">
        <v>4</v>
      </c>
      <c r="D95">
        <v>475</v>
      </c>
      <c r="E95" t="s">
        <v>22</v>
      </c>
      <c r="F95" s="1">
        <f>DATE(2026,5,1)</f>
        <v>46143</v>
      </c>
      <c r="G95" s="1">
        <f>DATE(2026,5,31)</f>
        <v>46173</v>
      </c>
      <c r="H95">
        <f>VLOOKUP($C95,Limits!$A$2:$B$6,2,FALSE)</f>
        <v>10000</v>
      </c>
      <c r="I95" t="str">
        <f>IF(D95&gt;H95,"OVER","OK")</f>
        <v>OK</v>
      </c>
      <c r="J95" t="str">
        <f>IF(G95="","OK",IF(G95&lt;F95,"BAD_DATE","OK"))</f>
        <v>OK</v>
      </c>
    </row>
    <row r="96">
      <c r="A96" t="s">
        <v>118</v>
      </c>
      <c r="B96" t="s">
        <v>16</v>
      </c>
      <c r="C96" t="s">
        <v>6</v>
      </c>
      <c r="D96">
        <v>4673</v>
      </c>
      <c r="E96" t="s">
        <v>17</v>
      </c>
      <c r="F96" s="1">
        <f>DATE(2026,3,20)</f>
        <v>46101</v>
      </c>
      <c r="H96">
        <f>VLOOKUP($C96,Limits!$A$2:$B$6,2,FALSE)</f>
        <v>3000</v>
      </c>
      <c r="I96" t="str">
        <f>IF(D96&gt;H96,"OVER","OK")</f>
        <v>OVER</v>
      </c>
      <c r="J96" t="str">
        <f>IF(G96="","OK",IF(G96&lt;F96,"BAD_DATE","OK"))</f>
        <v>OK</v>
      </c>
    </row>
    <row r="97">
      <c r="A97" t="s">
        <v>119</v>
      </c>
      <c r="B97" t="s">
        <v>30</v>
      </c>
      <c r="C97" t="s">
        <v>5</v>
      </c>
      <c r="D97">
        <v>17906</v>
      </c>
      <c r="E97" t="s">
        <v>17</v>
      </c>
      <c r="F97" s="1">
        <f>DATE(2026,2,12)</f>
        <v>46065</v>
      </c>
      <c r="H97">
        <f>VLOOKUP($C97,Limits!$A$2:$B$6,2,FALSE)</f>
        <v>15000</v>
      </c>
      <c r="I97" t="str">
        <f>IF(D97&gt;H97,"OVER","OK")</f>
        <v>OVER</v>
      </c>
      <c r="J97" t="str">
        <f>IF(G97="","OK",IF(G97&lt;F97,"BAD_DATE","OK"))</f>
        <v>OK</v>
      </c>
    </row>
    <row r="98">
      <c r="A98" t="s">
        <v>120</v>
      </c>
      <c r="B98" t="s">
        <v>16</v>
      </c>
      <c r="C98" t="s">
        <v>6</v>
      </c>
      <c r="D98">
        <v>1847</v>
      </c>
      <c r="E98" t="s">
        <v>27</v>
      </c>
      <c r="F98" s="1">
        <f>DATE(2026,4,24)</f>
        <v>46136</v>
      </c>
      <c r="G98" s="1">
        <f>DATE(2026,4,54)</f>
        <v>46166</v>
      </c>
      <c r="H98">
        <f>VLOOKUP($C98,Limits!$A$2:$B$6,2,FALSE)</f>
        <v>3000</v>
      </c>
      <c r="I98" t="str">
        <f>IF(D98&gt;H98,"OVER","OK")</f>
        <v>OK</v>
      </c>
      <c r="J98" t="str">
        <f>IF(G98="","OK",IF(G98&lt;F98,"BAD_DATE","OK"))</f>
        <v>OK</v>
      </c>
    </row>
    <row r="99">
      <c r="A99" t="s">
        <v>121</v>
      </c>
      <c r="B99" t="s">
        <v>16</v>
      </c>
      <c r="C99" t="s">
        <v>4</v>
      </c>
      <c r="D99">
        <v>17357</v>
      </c>
      <c r="E99" t="s">
        <v>27</v>
      </c>
      <c r="F99" s="1">
        <f>DATE(2026,4,6)</f>
        <v>46118</v>
      </c>
      <c r="G99" s="1">
        <f>DATE(2026,4,13)</f>
        <v>46125</v>
      </c>
      <c r="H99">
        <f>VLOOKUP($C99,Limits!$A$2:$B$6,2,FALSE)</f>
        <v>10000</v>
      </c>
      <c r="I99" t="str">
        <f>IF(D99&gt;H99,"OVER","OK")</f>
        <v>OVER</v>
      </c>
      <c r="J99" t="str">
        <f>IF(G99="","OK",IF(G99&lt;F99,"BAD_DATE","OK"))</f>
        <v>OK</v>
      </c>
    </row>
    <row r="100">
      <c r="A100" t="s">
        <v>122</v>
      </c>
      <c r="B100" t="s">
        <v>30</v>
      </c>
      <c r="C100" t="s">
        <v>2</v>
      </c>
      <c r="D100">
        <v>22677</v>
      </c>
      <c r="E100" t="s">
        <v>17</v>
      </c>
      <c r="F100" s="1">
        <f>DATE(2026,6,10)</f>
        <v>46183</v>
      </c>
      <c r="H100">
        <f>VLOOKUP($C100,Limits!$A$2:$B$6,2,FALSE)</f>
        <v>5000</v>
      </c>
      <c r="I100" t="str">
        <f>IF(D100&gt;H100,"OVER","OK")</f>
        <v>OVER</v>
      </c>
      <c r="J100" t="str">
        <f>IF(G100="","OK",IF(G100&lt;F100,"BAD_DATE","OK"))</f>
        <v>OK</v>
      </c>
    </row>
    <row r="101">
      <c r="A101" t="s">
        <v>123</v>
      </c>
      <c r="B101" t="s">
        <v>26</v>
      </c>
      <c r="C101" t="s">
        <v>3</v>
      </c>
      <c r="D101">
        <v>8442</v>
      </c>
      <c r="E101" t="s">
        <v>19</v>
      </c>
      <c r="F101" s="1">
        <f>DATE(2026,2,7)</f>
        <v>46060</v>
      </c>
      <c r="H101">
        <f>VLOOKUP($C101,Limits!$A$2:$B$6,2,FALSE)</f>
        <v>20000</v>
      </c>
      <c r="I101" t="str">
        <f>IF(D101&gt;H101,"OVER","OK")</f>
        <v>OK</v>
      </c>
      <c r="J101" t="str">
        <f>IF(G101="","OK",IF(G101&lt;F101,"BAD_DATE","OK"))</f>
        <v>OK</v>
      </c>
    </row>
    <row r="102">
      <c r="A102" t="s">
        <v>124</v>
      </c>
      <c r="B102" t="s">
        <v>16</v>
      </c>
      <c r="C102" t="s">
        <v>4</v>
      </c>
      <c r="D102">
        <v>24927</v>
      </c>
      <c r="E102" t="s">
        <v>27</v>
      </c>
      <c r="F102" s="1">
        <f>DATE(2026,1,21)</f>
        <v>46043</v>
      </c>
      <c r="G102" s="1">
        <f>DATE(2026,1,27)</f>
        <v>46049</v>
      </c>
      <c r="H102">
        <f>VLOOKUP($C102,Limits!$A$2:$B$6,2,FALSE)</f>
        <v>10000</v>
      </c>
      <c r="I102" t="str">
        <f>IF(D102&gt;H102,"OVER","OK")</f>
        <v>OVER</v>
      </c>
      <c r="J102" t="str">
        <f>IF(G102="","OK",IF(G102&lt;F102,"BAD_DATE","OK"))</f>
        <v>OK</v>
      </c>
    </row>
    <row r="103">
      <c r="A103" t="s">
        <v>125</v>
      </c>
      <c r="B103" t="s">
        <v>30</v>
      </c>
      <c r="C103" t="s">
        <v>5</v>
      </c>
      <c r="D103">
        <v>16691</v>
      </c>
      <c r="E103" t="s">
        <v>22</v>
      </c>
      <c r="F103" s="1">
        <f>DATE(2026,2,22)</f>
        <v>46075</v>
      </c>
      <c r="G103" s="1">
        <f>DATE(2026,2,27)</f>
        <v>46080</v>
      </c>
      <c r="H103">
        <f>VLOOKUP($C103,Limits!$A$2:$B$6,2,FALSE)</f>
        <v>15000</v>
      </c>
      <c r="I103" t="str">
        <f>IF(D103&gt;H103,"OVER","OK")</f>
        <v>OVER</v>
      </c>
      <c r="J103" t="str">
        <f>IF(G103="","OK",IF(G103&lt;F103,"BAD_DATE","OK"))</f>
        <v>OK</v>
      </c>
    </row>
    <row r="104">
      <c r="A104" t="s">
        <v>126</v>
      </c>
      <c r="B104" t="s">
        <v>21</v>
      </c>
      <c r="C104" t="s">
        <v>2</v>
      </c>
      <c r="D104">
        <v>3980</v>
      </c>
      <c r="E104" t="s">
        <v>27</v>
      </c>
      <c r="F104" s="1">
        <f>DATE(2026,6,12)</f>
        <v>46185</v>
      </c>
      <c r="G104" s="1">
        <f>DATE(2026,6,15)</f>
        <v>46188</v>
      </c>
      <c r="H104">
        <f>VLOOKUP($C104,Limits!$A$2:$B$6,2,FALSE)</f>
        <v>5000</v>
      </c>
      <c r="I104" t="str">
        <f>IF(D104&gt;H104,"OVER","OK")</f>
        <v>OK</v>
      </c>
      <c r="J104" t="str">
        <f>IF(G104="","OK",IF(G104&lt;F104,"BAD_DATE","OK"))</f>
        <v>OK</v>
      </c>
    </row>
    <row r="105">
      <c r="A105" t="s">
        <v>127</v>
      </c>
      <c r="B105" t="s">
        <v>30</v>
      </c>
      <c r="C105" t="s">
        <v>4</v>
      </c>
      <c r="D105">
        <v>22361</v>
      </c>
      <c r="E105" t="s">
        <v>17</v>
      </c>
      <c r="F105" s="1">
        <f>DATE(2026,2,16)</f>
        <v>46069</v>
      </c>
      <c r="H105">
        <f>VLOOKUP($C105,Limits!$A$2:$B$6,2,FALSE)</f>
        <v>10000</v>
      </c>
      <c r="I105" t="str">
        <f>IF(D105&gt;H105,"OVER","OK")</f>
        <v>OVER</v>
      </c>
      <c r="J105" t="str">
        <f>IF(G105="","OK",IF(G105&lt;F105,"BAD_DATE","OK"))</f>
        <v>OK</v>
      </c>
    </row>
    <row r="106">
      <c r="A106" t="s">
        <v>128</v>
      </c>
      <c r="B106" t="s">
        <v>16</v>
      </c>
      <c r="C106" t="s">
        <v>3</v>
      </c>
      <c r="D106">
        <v>17563</v>
      </c>
      <c r="E106" t="s">
        <v>17</v>
      </c>
      <c r="F106" s="1">
        <f>DATE(2026,5,6)</f>
        <v>46148</v>
      </c>
      <c r="H106">
        <f>VLOOKUP($C106,Limits!$A$2:$B$6,2,FALSE)</f>
        <v>20000</v>
      </c>
      <c r="I106" t="str">
        <f>IF(D106&gt;H106,"OVER","OK")</f>
        <v>OK</v>
      </c>
      <c r="J106" t="str">
        <f>IF(G106="","OK",IF(G106&lt;F106,"BAD_DATE","OK"))</f>
        <v>OK</v>
      </c>
    </row>
    <row r="107">
      <c r="A107" t="s">
        <v>129</v>
      </c>
      <c r="B107" t="s">
        <v>21</v>
      </c>
      <c r="C107" t="s">
        <v>4</v>
      </c>
      <c r="D107">
        <v>21309</v>
      </c>
      <c r="E107" t="s">
        <v>22</v>
      </c>
      <c r="F107" s="1">
        <f>DATE(2026,1,19)</f>
        <v>46041</v>
      </c>
      <c r="G107" s="1">
        <f>DATE(2026,1,20)</f>
        <v>46042</v>
      </c>
      <c r="H107">
        <f>VLOOKUP($C107,Limits!$A$2:$B$6,2,FALSE)</f>
        <v>10000</v>
      </c>
      <c r="I107" t="str">
        <f>IF(D107&gt;H107,"OVER","OK")</f>
        <v>OVER</v>
      </c>
      <c r="J107" t="str">
        <f>IF(G107="","OK",IF(G107&lt;F107,"BAD_DATE","OK"))</f>
        <v>OK</v>
      </c>
    </row>
    <row r="108">
      <c r="A108" t="s">
        <v>130</v>
      </c>
      <c r="B108" t="s">
        <v>26</v>
      </c>
      <c r="C108" t="s">
        <v>2</v>
      </c>
      <c r="D108">
        <v>24812</v>
      </c>
      <c r="E108" t="s">
        <v>19</v>
      </c>
      <c r="F108" s="1">
        <f>DATE(2026,1,12)</f>
        <v>46034</v>
      </c>
      <c r="H108">
        <f>VLOOKUP($C108,Limits!$A$2:$B$6,2,FALSE)</f>
        <v>5000</v>
      </c>
      <c r="I108" t="str">
        <f>IF(D108&gt;H108,"OVER","OK")</f>
        <v>OVER</v>
      </c>
      <c r="J108" t="str">
        <f>IF(G108="","OK",IF(G108&lt;F108,"BAD_DATE","OK"))</f>
        <v>OK</v>
      </c>
    </row>
    <row r="109">
      <c r="A109" t="s">
        <v>131</v>
      </c>
      <c r="B109" t="s">
        <v>37</v>
      </c>
      <c r="C109" t="s">
        <v>6</v>
      </c>
      <c r="D109">
        <v>1437</v>
      </c>
      <c r="E109" t="s">
        <v>19</v>
      </c>
      <c r="F109" s="1">
        <f>DATE(2026,2,16)</f>
        <v>46069</v>
      </c>
      <c r="H109">
        <f>VLOOKUP($C109,Limits!$A$2:$B$6,2,FALSE)</f>
        <v>3000</v>
      </c>
      <c r="I109" t="str">
        <f>IF(D109&gt;H109,"OVER","OK")</f>
        <v>OK</v>
      </c>
      <c r="J109" t="str">
        <f>IF(G109="","OK",IF(G109&lt;F109,"BAD_DATE","OK"))</f>
        <v>OK</v>
      </c>
    </row>
    <row r="110">
      <c r="A110" t="s">
        <v>132</v>
      </c>
      <c r="B110" t="s">
        <v>30</v>
      </c>
      <c r="C110" t="s">
        <v>6</v>
      </c>
      <c r="D110">
        <v>6713</v>
      </c>
      <c r="E110" t="s">
        <v>27</v>
      </c>
      <c r="F110" s="1">
        <f>DATE(2026,1,9)</f>
        <v>46031</v>
      </c>
      <c r="G110" s="1">
        <f>DATE(2026,1,23)</f>
        <v>46045</v>
      </c>
      <c r="H110">
        <f>VLOOKUP($C110,Limits!$A$2:$B$6,2,FALSE)</f>
        <v>3000</v>
      </c>
      <c r="I110" t="str">
        <f>IF(D110&gt;H110,"OVER","OK")</f>
        <v>OVER</v>
      </c>
      <c r="J110" t="str">
        <f>IF(G110="","OK",IF(G110&lt;F110,"BAD_DATE","OK"))</f>
        <v>OK</v>
      </c>
    </row>
    <row r="111">
      <c r="A111" t="s">
        <v>133</v>
      </c>
      <c r="B111" t="s">
        <v>30</v>
      </c>
      <c r="C111" t="s">
        <v>6</v>
      </c>
      <c r="D111">
        <v>22419</v>
      </c>
      <c r="E111" t="s">
        <v>17</v>
      </c>
      <c r="F111" s="1">
        <f>DATE(2026,5,27)</f>
        <v>46169</v>
      </c>
      <c r="H111">
        <f>VLOOKUP($C111,Limits!$A$2:$B$6,2,FALSE)</f>
        <v>3000</v>
      </c>
      <c r="I111" t="str">
        <f>IF(D111&gt;H111,"OVER","OK")</f>
        <v>OVER</v>
      </c>
      <c r="J111" t="str">
        <f>IF(G111="","OK",IF(G111&lt;F111,"BAD_DATE","OK"))</f>
        <v>OK</v>
      </c>
    </row>
    <row r="112">
      <c r="A112" t="s">
        <v>134</v>
      </c>
      <c r="B112" t="s">
        <v>37</v>
      </c>
      <c r="C112" t="s">
        <v>3</v>
      </c>
      <c r="D112">
        <v>165</v>
      </c>
      <c r="E112" t="s">
        <v>27</v>
      </c>
      <c r="F112" s="1">
        <f>DATE(2026,2,25)</f>
        <v>46078</v>
      </c>
      <c r="G112" s="1">
        <f>DATE(2026,2,46)</f>
        <v>46099</v>
      </c>
      <c r="H112">
        <f>VLOOKUP($C112,Limits!$A$2:$B$6,2,FALSE)</f>
        <v>20000</v>
      </c>
      <c r="I112" t="str">
        <f>IF(D112&gt;H112,"OVER","OK")</f>
        <v>OK</v>
      </c>
      <c r="J112" t="str">
        <f>IF(G112="","OK",IF(G112&lt;F112,"BAD_DATE","OK"))</f>
        <v>OK</v>
      </c>
    </row>
    <row r="113">
      <c r="A113" t="s">
        <v>135</v>
      </c>
      <c r="B113" t="s">
        <v>30</v>
      </c>
      <c r="C113" t="s">
        <v>5</v>
      </c>
      <c r="D113">
        <v>10931</v>
      </c>
      <c r="E113" t="s">
        <v>17</v>
      </c>
      <c r="F113" s="1">
        <f>DATE(2026,4,12)</f>
        <v>46124</v>
      </c>
      <c r="H113">
        <f>VLOOKUP($C113,Limits!$A$2:$B$6,2,FALSE)</f>
        <v>15000</v>
      </c>
      <c r="I113" t="str">
        <f>IF(D113&gt;H113,"OVER","OK")</f>
        <v>OK</v>
      </c>
      <c r="J113" t="str">
        <f>IF(G113="","OK",IF(G113&lt;F113,"BAD_DATE","OK"))</f>
        <v>OK</v>
      </c>
    </row>
    <row r="114">
      <c r="A114" t="s">
        <v>136</v>
      </c>
      <c r="B114" t="s">
        <v>26</v>
      </c>
      <c r="C114" t="s">
        <v>3</v>
      </c>
      <c r="D114">
        <v>205</v>
      </c>
      <c r="E114" t="s">
        <v>17</v>
      </c>
      <c r="F114" s="1">
        <f>DATE(2026,1,19)</f>
        <v>46041</v>
      </c>
      <c r="H114">
        <f>VLOOKUP($C114,Limits!$A$2:$B$6,2,FALSE)</f>
        <v>20000</v>
      </c>
      <c r="I114" t="str">
        <f>IF(D114&gt;H114,"OVER","OK")</f>
        <v>OK</v>
      </c>
      <c r="J114" t="str">
        <f>IF(G114="","OK",IF(G114&lt;F114,"BAD_DATE","OK"))</f>
        <v>OK</v>
      </c>
    </row>
    <row r="115">
      <c r="A115" t="s">
        <v>137</v>
      </c>
      <c r="B115" t="s">
        <v>26</v>
      </c>
      <c r="C115" t="s">
        <v>4</v>
      </c>
      <c r="D115">
        <v>10447</v>
      </c>
      <c r="E115" t="s">
        <v>22</v>
      </c>
      <c r="F115" s="1">
        <f>DATE(2026,3,25)</f>
        <v>46106</v>
      </c>
      <c r="G115" s="1">
        <f>DATE(2026,3,52)</f>
        <v>46133</v>
      </c>
      <c r="H115">
        <f>VLOOKUP($C115,Limits!$A$2:$B$6,2,FALSE)</f>
        <v>10000</v>
      </c>
      <c r="I115" t="str">
        <f>IF(D115&gt;H115,"OVER","OK")</f>
        <v>OVER</v>
      </c>
      <c r="J115" t="str">
        <f>IF(G115="","OK",IF(G115&lt;F115,"BAD_DATE","OK"))</f>
        <v>OK</v>
      </c>
    </row>
    <row r="116">
      <c r="A116" t="s">
        <v>138</v>
      </c>
      <c r="B116" t="s">
        <v>26</v>
      </c>
      <c r="C116" t="s">
        <v>2</v>
      </c>
      <c r="D116">
        <v>16807</v>
      </c>
      <c r="E116" t="s">
        <v>27</v>
      </c>
      <c r="F116" s="1">
        <f>DATE(2026,5,11)</f>
        <v>46153</v>
      </c>
      <c r="G116" s="1">
        <f>DATE(2026,5,30)</f>
        <v>46172</v>
      </c>
      <c r="H116">
        <f>VLOOKUP($C116,Limits!$A$2:$B$6,2,FALSE)</f>
        <v>5000</v>
      </c>
      <c r="I116" t="str">
        <f>IF(D116&gt;H116,"OVER","OK")</f>
        <v>OVER</v>
      </c>
      <c r="J116" t="str">
        <f>IF(G116="","OK",IF(G116&lt;F116,"BAD_DATE","OK"))</f>
        <v>OK</v>
      </c>
    </row>
    <row r="117">
      <c r="A117" t="s">
        <v>139</v>
      </c>
      <c r="B117" t="s">
        <v>26</v>
      </c>
      <c r="C117" t="s">
        <v>2</v>
      </c>
      <c r="D117">
        <v>4828</v>
      </c>
      <c r="E117" t="s">
        <v>27</v>
      </c>
      <c r="F117" s="1">
        <f>DATE(2026,4,12)</f>
        <v>46124</v>
      </c>
      <c r="G117" s="1">
        <f>DATE(2026,4,36)</f>
        <v>46148</v>
      </c>
      <c r="H117">
        <f>VLOOKUP($C117,Limits!$A$2:$B$6,2,FALSE)</f>
        <v>5000</v>
      </c>
      <c r="I117" t="str">
        <f>IF(D117&gt;H117,"OVER","OK")</f>
        <v>OK</v>
      </c>
      <c r="J117" t="str">
        <f>IF(G117="","OK",IF(G117&lt;F117,"BAD_DATE","OK"))</f>
        <v>OK</v>
      </c>
    </row>
    <row r="118">
      <c r="A118" t="s">
        <v>140</v>
      </c>
      <c r="B118" t="s">
        <v>21</v>
      </c>
      <c r="C118" t="s">
        <v>2</v>
      </c>
      <c r="D118">
        <v>16283</v>
      </c>
      <c r="E118" t="s">
        <v>27</v>
      </c>
      <c r="F118" s="1">
        <f>DATE(2026,6,19)</f>
        <v>46192</v>
      </c>
      <c r="G118" s="1">
        <f>DATE(2026,6,29)</f>
        <v>46202</v>
      </c>
      <c r="H118">
        <f>VLOOKUP($C118,Limits!$A$2:$B$6,2,FALSE)</f>
        <v>5000</v>
      </c>
      <c r="I118" t="str">
        <f>IF(D118&gt;H118,"OVER","OK")</f>
        <v>OVER</v>
      </c>
      <c r="J118" t="str">
        <f>IF(G118="","OK",IF(G118&lt;F118,"BAD_DATE","OK"))</f>
        <v>OK</v>
      </c>
    </row>
    <row r="119">
      <c r="A119" t="s">
        <v>141</v>
      </c>
      <c r="B119" t="s">
        <v>16</v>
      </c>
      <c r="C119" t="s">
        <v>5</v>
      </c>
      <c r="D119">
        <v>19275</v>
      </c>
      <c r="E119" t="s">
        <v>22</v>
      </c>
      <c r="F119" s="1">
        <f>DATE(2026,4,13)</f>
        <v>46125</v>
      </c>
      <c r="G119" s="1">
        <f>DATE(2026,4,36)</f>
        <v>46148</v>
      </c>
      <c r="H119">
        <f>VLOOKUP($C119,Limits!$A$2:$B$6,2,FALSE)</f>
        <v>15000</v>
      </c>
      <c r="I119" t="str">
        <f>IF(D119&gt;H119,"OVER","OK")</f>
        <v>OVER</v>
      </c>
      <c r="J119" t="str">
        <f>IF(G119="","OK",IF(G119&lt;F119,"BAD_DATE","OK"))</f>
        <v>OK</v>
      </c>
    </row>
    <row r="120">
      <c r="A120" t="s">
        <v>142</v>
      </c>
      <c r="B120" t="s">
        <v>30</v>
      </c>
      <c r="C120" t="s">
        <v>3</v>
      </c>
      <c r="D120">
        <v>7782</v>
      </c>
      <c r="E120" t="s">
        <v>19</v>
      </c>
      <c r="F120" s="1">
        <f>DATE(2026,4,22)</f>
        <v>46134</v>
      </c>
      <c r="H120">
        <f>VLOOKUP($C120,Limits!$A$2:$B$6,2,FALSE)</f>
        <v>20000</v>
      </c>
      <c r="I120" t="str">
        <f>IF(D120&gt;H120,"OVER","OK")</f>
        <v>OK</v>
      </c>
      <c r="J120" t="str">
        <f>IF(G120="","OK",IF(G120&lt;F120,"BAD_DATE","OK"))</f>
        <v>OK</v>
      </c>
    </row>
    <row r="121">
      <c r="A121" t="s">
        <v>143</v>
      </c>
      <c r="B121" t="s">
        <v>21</v>
      </c>
      <c r="C121" t="s">
        <v>6</v>
      </c>
      <c r="D121">
        <v>23559</v>
      </c>
      <c r="E121" t="s">
        <v>19</v>
      </c>
      <c r="F121" s="1">
        <f>DATE(2026,4,10)</f>
        <v>46122</v>
      </c>
      <c r="H121">
        <f>VLOOKUP($C121,Limits!$A$2:$B$6,2,FALSE)</f>
        <v>3000</v>
      </c>
      <c r="I121" t="str">
        <f>IF(D121&gt;H121,"OVER","OK")</f>
        <v>OVER</v>
      </c>
      <c r="J121" t="str">
        <f>IF(G121="","OK",IF(G121&lt;F121,"BAD_DATE","OK"))</f>
        <v>OK</v>
      </c>
    </row>
    <row r="122">
      <c r="A122" t="s">
        <v>144</v>
      </c>
      <c r="B122" t="s">
        <v>21</v>
      </c>
      <c r="C122" t="s">
        <v>5</v>
      </c>
      <c r="D122">
        <v>2227</v>
      </c>
      <c r="E122" t="s">
        <v>17</v>
      </c>
      <c r="F122" s="1">
        <f>DATE(2026,6,17)</f>
        <v>46190</v>
      </c>
      <c r="H122">
        <f>VLOOKUP($C122,Limits!$A$2:$B$6,2,FALSE)</f>
        <v>15000</v>
      </c>
      <c r="I122" t="str">
        <f>IF(D122&gt;H122,"OVER","OK")</f>
        <v>OK</v>
      </c>
      <c r="J122" t="str">
        <f>IF(G122="","OK",IF(G122&lt;F122,"BAD_DATE","OK"))</f>
        <v>OK</v>
      </c>
    </row>
    <row r="123">
      <c r="A123" t="s">
        <v>145</v>
      </c>
      <c r="B123" t="s">
        <v>37</v>
      </c>
      <c r="C123" t="s">
        <v>4</v>
      </c>
      <c r="D123">
        <v>24248</v>
      </c>
      <c r="E123" t="s">
        <v>19</v>
      </c>
      <c r="F123" s="1">
        <f>DATE(2026,1,11)</f>
        <v>46033</v>
      </c>
      <c r="H123">
        <f>VLOOKUP($C123,Limits!$A$2:$B$6,2,FALSE)</f>
        <v>10000</v>
      </c>
      <c r="I123" t="str">
        <f>IF(D123&gt;H123,"OVER","OK")</f>
        <v>OVER</v>
      </c>
      <c r="J123" t="str">
        <f>IF(G123="","OK",IF(G123&lt;F123,"BAD_DATE","OK"))</f>
        <v>OK</v>
      </c>
    </row>
    <row r="124">
      <c r="A124" t="s">
        <v>146</v>
      </c>
      <c r="B124" t="s">
        <v>30</v>
      </c>
      <c r="C124" t="s">
        <v>4</v>
      </c>
      <c r="D124">
        <v>8064</v>
      </c>
      <c r="E124" t="s">
        <v>19</v>
      </c>
      <c r="F124" s="1">
        <f>DATE(2026,5,21)</f>
        <v>46163</v>
      </c>
      <c r="H124">
        <f>VLOOKUP($C124,Limits!$A$2:$B$6,2,FALSE)</f>
        <v>10000</v>
      </c>
      <c r="I124" t="str">
        <f>IF(D124&gt;H124,"OVER","OK")</f>
        <v>OK</v>
      </c>
      <c r="J124" t="str">
        <f>IF(G124="","OK",IF(G124&lt;F124,"BAD_DATE","OK"))</f>
        <v>OK</v>
      </c>
    </row>
    <row r="125">
      <c r="A125" t="s">
        <v>147</v>
      </c>
      <c r="B125" t="s">
        <v>37</v>
      </c>
      <c r="C125" t="s">
        <v>2</v>
      </c>
      <c r="D125">
        <v>10517</v>
      </c>
      <c r="E125" t="s">
        <v>19</v>
      </c>
      <c r="F125" s="1">
        <f>DATE(2026,3,9)</f>
        <v>46090</v>
      </c>
      <c r="H125">
        <f>VLOOKUP($C125,Limits!$A$2:$B$6,2,FALSE)</f>
        <v>5000</v>
      </c>
      <c r="I125" t="str">
        <f>IF(D125&gt;H125,"OVER","OK")</f>
        <v>OVER</v>
      </c>
      <c r="J125" t="str">
        <f>IF(G125="","OK",IF(G125&lt;F125,"BAD_DATE","OK"))</f>
        <v>OK</v>
      </c>
    </row>
    <row r="126">
      <c r="A126" t="s">
        <v>148</v>
      </c>
      <c r="B126" t="s">
        <v>26</v>
      </c>
      <c r="C126" t="s">
        <v>5</v>
      </c>
      <c r="D126">
        <v>8555</v>
      </c>
      <c r="E126" t="s">
        <v>17</v>
      </c>
      <c r="F126" s="1">
        <f>DATE(2026,2,11)</f>
        <v>46064</v>
      </c>
      <c r="H126">
        <f>VLOOKUP($C126,Limits!$A$2:$B$6,2,FALSE)</f>
        <v>15000</v>
      </c>
      <c r="I126" t="str">
        <f>IF(D126&gt;H126,"OVER","OK")</f>
        <v>OK</v>
      </c>
      <c r="J126" t="str">
        <f>IF(G126="","OK",IF(G126&lt;F126,"BAD_DATE","OK"))</f>
        <v>OK</v>
      </c>
    </row>
    <row r="127">
      <c r="A127" t="s">
        <v>149</v>
      </c>
      <c r="B127" t="s">
        <v>30</v>
      </c>
      <c r="C127" t="s">
        <v>3</v>
      </c>
      <c r="D127">
        <v>9693</v>
      </c>
      <c r="E127" t="s">
        <v>27</v>
      </c>
      <c r="F127" s="1">
        <f>DATE(2026,1,27)</f>
        <v>46049</v>
      </c>
      <c r="G127" s="1">
        <f>DATE(2026,1,35)</f>
        <v>46057</v>
      </c>
      <c r="H127">
        <f>VLOOKUP($C127,Limits!$A$2:$B$6,2,FALSE)</f>
        <v>20000</v>
      </c>
      <c r="I127" t="str">
        <f>IF(D127&gt;H127,"OVER","OK")</f>
        <v>OK</v>
      </c>
      <c r="J127" t="str">
        <f>IF(G127="","OK",IF(G127&lt;F127,"BAD_DATE","OK"))</f>
        <v>OK</v>
      </c>
    </row>
    <row r="128">
      <c r="A128" t="s">
        <v>150</v>
      </c>
      <c r="B128" t="s">
        <v>26</v>
      </c>
      <c r="C128" t="s">
        <v>6</v>
      </c>
      <c r="D128">
        <v>5498</v>
      </c>
      <c r="E128" t="s">
        <v>17</v>
      </c>
      <c r="F128" s="1">
        <f>DATE(2026,4,14)</f>
        <v>46126</v>
      </c>
      <c r="H128">
        <f>VLOOKUP($C128,Limits!$A$2:$B$6,2,FALSE)</f>
        <v>3000</v>
      </c>
      <c r="I128" t="str">
        <f>IF(D128&gt;H128,"OVER","OK")</f>
        <v>OVER</v>
      </c>
      <c r="J128" t="str">
        <f>IF(G128="","OK",IF(G128&lt;F128,"BAD_DATE","OK"))</f>
        <v>OK</v>
      </c>
    </row>
    <row r="129">
      <c r="A129" t="s">
        <v>151</v>
      </c>
      <c r="B129" t="s">
        <v>21</v>
      </c>
      <c r="C129" t="s">
        <v>3</v>
      </c>
      <c r="D129">
        <v>8791</v>
      </c>
      <c r="E129" t="s">
        <v>22</v>
      </c>
      <c r="F129" s="1">
        <f>DATE(2026,2,24)</f>
        <v>46077</v>
      </c>
      <c r="G129" s="1">
        <f>DATE(2026,2,40)</f>
        <v>46093</v>
      </c>
      <c r="H129">
        <f>VLOOKUP($C129,Limits!$A$2:$B$6,2,FALSE)</f>
        <v>20000</v>
      </c>
      <c r="I129" t="str">
        <f>IF(D129&gt;H129,"OVER","OK")</f>
        <v>OK</v>
      </c>
      <c r="J129" t="str">
        <f>IF(G129="","OK",IF(G129&lt;F129,"BAD_DATE","OK"))</f>
        <v>OK</v>
      </c>
    </row>
    <row r="130">
      <c r="A130" t="s">
        <v>152</v>
      </c>
      <c r="B130" t="s">
        <v>37</v>
      </c>
      <c r="C130" t="s">
        <v>5</v>
      </c>
      <c r="D130">
        <v>11705</v>
      </c>
      <c r="E130" t="s">
        <v>17</v>
      </c>
      <c r="F130" s="1">
        <f>DATE(2026,5,13)</f>
        <v>46155</v>
      </c>
      <c r="H130">
        <f>VLOOKUP($C130,Limits!$A$2:$B$6,2,FALSE)</f>
        <v>15000</v>
      </c>
      <c r="I130" t="str">
        <f>IF(D130&gt;H130,"OVER","OK")</f>
        <v>OK</v>
      </c>
      <c r="J130" t="str">
        <f>IF(G130="","OK",IF(G130&lt;F130,"BAD_DATE","OK"))</f>
        <v>OK</v>
      </c>
    </row>
    <row r="131">
      <c r="A131" t="s">
        <v>153</v>
      </c>
      <c r="B131" t="s">
        <v>26</v>
      </c>
      <c r="C131" t="s">
        <v>6</v>
      </c>
      <c r="D131">
        <v>22890</v>
      </c>
      <c r="E131" t="s">
        <v>22</v>
      </c>
      <c r="F131" s="1">
        <f>DATE(2026,6,9)</f>
        <v>46182</v>
      </c>
      <c r="G131" s="1">
        <f>DATE(2026,6,39)</f>
        <v>46212</v>
      </c>
      <c r="H131">
        <f>VLOOKUP($C131,Limits!$A$2:$B$6,2,FALSE)</f>
        <v>3000</v>
      </c>
      <c r="I131" t="str">
        <f>IF(D131&gt;H131,"OVER","OK")</f>
        <v>OVER</v>
      </c>
      <c r="J131" t="str">
        <f>IF(G131="","OK",IF(G131&lt;F131,"BAD_DATE","OK"))</f>
        <v>OK</v>
      </c>
    </row>
    <row r="132">
      <c r="A132" t="s">
        <v>154</v>
      </c>
      <c r="B132" t="s">
        <v>37</v>
      </c>
      <c r="C132" t="s">
        <v>5</v>
      </c>
      <c r="D132">
        <v>9821</v>
      </c>
      <c r="E132" t="s">
        <v>17</v>
      </c>
      <c r="F132" s="1">
        <f>DATE(2026,1,7)</f>
        <v>46029</v>
      </c>
      <c r="H132">
        <f>VLOOKUP($C132,Limits!$A$2:$B$6,2,FALSE)</f>
        <v>15000</v>
      </c>
      <c r="I132" t="str">
        <f>IF(D132&gt;H132,"OVER","OK")</f>
        <v>OK</v>
      </c>
      <c r="J132" t="str">
        <f>IF(G132="","OK",IF(G132&lt;F132,"BAD_DATE","OK"))</f>
        <v>OK</v>
      </c>
    </row>
    <row r="133">
      <c r="A133" t="s">
        <v>155</v>
      </c>
      <c r="B133" t="s">
        <v>30</v>
      </c>
      <c r="C133" t="s">
        <v>4</v>
      </c>
      <c r="D133">
        <v>6753</v>
      </c>
      <c r="E133" t="s">
        <v>22</v>
      </c>
      <c r="F133" s="1">
        <f>DATE(2026,4,8)</f>
        <v>46120</v>
      </c>
      <c r="G133" s="1">
        <f>DATE(2026,4,37)</f>
        <v>46149</v>
      </c>
      <c r="H133">
        <f>VLOOKUP($C133,Limits!$A$2:$B$6,2,FALSE)</f>
        <v>10000</v>
      </c>
      <c r="I133" t="str">
        <f>IF(D133&gt;H133,"OVER","OK")</f>
        <v>OK</v>
      </c>
      <c r="J133" t="str">
        <f>IF(G133="","OK",IF(G133&lt;F133,"BAD_DATE","OK"))</f>
        <v>OK</v>
      </c>
    </row>
    <row r="134">
      <c r="A134" t="s">
        <v>156</v>
      </c>
      <c r="B134" t="s">
        <v>30</v>
      </c>
      <c r="C134" t="s">
        <v>3</v>
      </c>
      <c r="D134">
        <v>12165</v>
      </c>
      <c r="E134" t="s">
        <v>27</v>
      </c>
      <c r="F134" s="1">
        <f>DATE(2026,4,11)</f>
        <v>46123</v>
      </c>
      <c r="G134" s="1">
        <f>DATE(2026,4,14)</f>
        <v>46126</v>
      </c>
      <c r="H134">
        <f>VLOOKUP($C134,Limits!$A$2:$B$6,2,FALSE)</f>
        <v>20000</v>
      </c>
      <c r="I134" t="str">
        <f>IF(D134&gt;H134,"OVER","OK")</f>
        <v>OK</v>
      </c>
      <c r="J134" t="str">
        <f>IF(G134="","OK",IF(G134&lt;F134,"BAD_DATE","OK"))</f>
        <v>OK</v>
      </c>
    </row>
    <row r="135">
      <c r="A135" t="s">
        <v>157</v>
      </c>
      <c r="B135" t="s">
        <v>30</v>
      </c>
      <c r="C135" t="s">
        <v>6</v>
      </c>
      <c r="D135">
        <v>5702</v>
      </c>
      <c r="E135" t="s">
        <v>19</v>
      </c>
      <c r="F135" s="1">
        <f>DATE(2026,1,17)</f>
        <v>46039</v>
      </c>
      <c r="H135">
        <f>VLOOKUP($C135,Limits!$A$2:$B$6,2,FALSE)</f>
        <v>3000</v>
      </c>
      <c r="I135" t="str">
        <f>IF(D135&gt;H135,"OVER","OK")</f>
        <v>OVER</v>
      </c>
      <c r="J135" t="str">
        <f>IF(G135="","OK",IF(G135&lt;F135,"BAD_DATE","OK"))</f>
        <v>OK</v>
      </c>
    </row>
    <row r="136">
      <c r="A136" t="s">
        <v>158</v>
      </c>
      <c r="B136" t="s">
        <v>26</v>
      </c>
      <c r="C136" t="s">
        <v>4</v>
      </c>
      <c r="D136">
        <v>3426</v>
      </c>
      <c r="E136" t="s">
        <v>19</v>
      </c>
      <c r="F136" s="1">
        <f>DATE(2026,3,20)</f>
        <v>46101</v>
      </c>
      <c r="H136">
        <f>VLOOKUP($C136,Limits!$A$2:$B$6,2,FALSE)</f>
        <v>10000</v>
      </c>
      <c r="I136" t="str">
        <f>IF(D136&gt;H136,"OVER","OK")</f>
        <v>OK</v>
      </c>
      <c r="J136" t="str">
        <f>IF(G136="","OK",IF(G136&lt;F136,"BAD_DATE","OK"))</f>
        <v>OK</v>
      </c>
    </row>
    <row r="137">
      <c r="A137" t="s">
        <v>159</v>
      </c>
      <c r="B137" t="s">
        <v>37</v>
      </c>
      <c r="C137" t="s">
        <v>3</v>
      </c>
      <c r="D137">
        <v>18204</v>
      </c>
      <c r="E137" t="s">
        <v>22</v>
      </c>
      <c r="F137" s="1">
        <f>DATE(2026,4,2)</f>
        <v>46114</v>
      </c>
      <c r="G137" s="1">
        <f>DATE(2026,4,5)</f>
        <v>46117</v>
      </c>
      <c r="H137">
        <f>VLOOKUP($C137,Limits!$A$2:$B$6,2,FALSE)</f>
        <v>20000</v>
      </c>
      <c r="I137" t="str">
        <f>IF(D137&gt;H137,"OVER","OK")</f>
        <v>OK</v>
      </c>
      <c r="J137" t="str">
        <f>IF(G137="","OK",IF(G137&lt;F137,"BAD_DATE","OK"))</f>
        <v>OK</v>
      </c>
    </row>
    <row r="138">
      <c r="A138" t="s">
        <v>160</v>
      </c>
      <c r="B138" t="s">
        <v>26</v>
      </c>
      <c r="C138" t="s">
        <v>4</v>
      </c>
      <c r="D138">
        <v>15481</v>
      </c>
      <c r="E138" t="s">
        <v>27</v>
      </c>
      <c r="F138" s="1">
        <f>DATE(2026,4,20)</f>
        <v>46132</v>
      </c>
      <c r="G138" s="1">
        <f>DATE(2026,4,8)</f>
        <v>46120</v>
      </c>
      <c r="H138">
        <f>VLOOKUP($C138,Limits!$A$2:$B$6,2,FALSE)</f>
        <v>10000</v>
      </c>
      <c r="I138" t="str">
        <f>IF(D138&gt;H138,"OVER","OK")</f>
        <v>OVER</v>
      </c>
      <c r="J138" t="str">
        <f>IF(G138="","OK",IF(G138&lt;F138,"BAD_DATE","OK"))</f>
        <v>BAD_DATE</v>
      </c>
    </row>
    <row r="139">
      <c r="A139" t="s">
        <v>161</v>
      </c>
      <c r="B139" t="s">
        <v>21</v>
      </c>
      <c r="C139" t="s">
        <v>4</v>
      </c>
      <c r="D139">
        <v>17705</v>
      </c>
      <c r="E139" t="s">
        <v>17</v>
      </c>
      <c r="F139" s="1">
        <f>DATE(2026,2,14)</f>
        <v>46067</v>
      </c>
      <c r="H139">
        <f>VLOOKUP($C139,Limits!$A$2:$B$6,2,FALSE)</f>
        <v>10000</v>
      </c>
      <c r="I139" t="str">
        <f>IF(D139&gt;H139,"OVER","OK")</f>
        <v>OVER</v>
      </c>
      <c r="J139" t="str">
        <f>IF(G139="","OK",IF(G139&lt;F139,"BAD_DATE","OK"))</f>
        <v>OK</v>
      </c>
    </row>
    <row r="140">
      <c r="A140" t="s">
        <v>162</v>
      </c>
      <c r="B140" t="s">
        <v>26</v>
      </c>
      <c r="C140" t="s">
        <v>5</v>
      </c>
      <c r="D140">
        <v>23259</v>
      </c>
      <c r="E140" t="s">
        <v>22</v>
      </c>
      <c r="F140" s="1">
        <f>DATE(2026,5,18)</f>
        <v>46160</v>
      </c>
      <c r="G140" s="1">
        <f>DATE(2026,5,40)</f>
        <v>46182</v>
      </c>
      <c r="H140">
        <f>VLOOKUP($C140,Limits!$A$2:$B$6,2,FALSE)</f>
        <v>15000</v>
      </c>
      <c r="I140" t="str">
        <f>IF(D140&gt;H140,"OVER","OK")</f>
        <v>OVER</v>
      </c>
      <c r="J140" t="str">
        <f>IF(G140="","OK",IF(G140&lt;F140,"BAD_DATE","OK"))</f>
        <v>OK</v>
      </c>
    </row>
    <row r="141">
      <c r="A141" t="s">
        <v>163</v>
      </c>
      <c r="B141" t="s">
        <v>37</v>
      </c>
      <c r="C141" t="s">
        <v>6</v>
      </c>
      <c r="D141">
        <v>17061</v>
      </c>
      <c r="E141" t="s">
        <v>27</v>
      </c>
      <c r="F141" s="1">
        <f>DATE(2026,5,7)</f>
        <v>46149</v>
      </c>
      <c r="G141" s="1">
        <f>DATE(2026,5,13)</f>
        <v>46155</v>
      </c>
      <c r="H141">
        <f>VLOOKUP($C141,Limits!$A$2:$B$6,2,FALSE)</f>
        <v>3000</v>
      </c>
      <c r="I141" t="str">
        <f>IF(D141&gt;H141,"OVER","OK")</f>
        <v>OVER</v>
      </c>
      <c r="J141" t="str">
        <f>IF(G141="","OK",IF(G141&lt;F141,"BAD_DATE","OK"))</f>
        <v>OK</v>
      </c>
    </row>
    <row r="142">
      <c r="A142" t="s">
        <v>164</v>
      </c>
      <c r="B142" t="s">
        <v>37</v>
      </c>
      <c r="C142" t="s">
        <v>6</v>
      </c>
      <c r="D142">
        <v>14900</v>
      </c>
      <c r="E142" t="s">
        <v>22</v>
      </c>
      <c r="F142" s="1">
        <f>DATE(2026,4,3)</f>
        <v>46115</v>
      </c>
      <c r="G142" s="1">
        <f>DATE(2026,4,5)</f>
        <v>46117</v>
      </c>
      <c r="H142">
        <f>VLOOKUP($C142,Limits!$A$2:$B$6,2,FALSE)</f>
        <v>3000</v>
      </c>
      <c r="I142" t="str">
        <f>IF(D142&gt;H142,"OVER","OK")</f>
        <v>OVER</v>
      </c>
      <c r="J142" t="str">
        <f>IF(G142="","OK",IF(G142&lt;F142,"BAD_DATE","OK"))</f>
        <v>OK</v>
      </c>
    </row>
    <row r="143">
      <c r="A143" t="s">
        <v>165</v>
      </c>
      <c r="B143" t="s">
        <v>16</v>
      </c>
      <c r="C143" t="s">
        <v>4</v>
      </c>
      <c r="D143">
        <v>10723</v>
      </c>
      <c r="E143" t="s">
        <v>27</v>
      </c>
      <c r="F143" s="1">
        <f>DATE(2026,1,14)</f>
        <v>46036</v>
      </c>
      <c r="G143" s="1">
        <f>DATE(2026,1,26)</f>
        <v>46048</v>
      </c>
      <c r="H143">
        <f>VLOOKUP($C143,Limits!$A$2:$B$6,2,FALSE)</f>
        <v>10000</v>
      </c>
      <c r="I143" t="str">
        <f>IF(D143&gt;H143,"OVER","OK")</f>
        <v>OVER</v>
      </c>
      <c r="J143" t="str">
        <f>IF(G143="","OK",IF(G143&lt;F143,"BAD_DATE","OK"))</f>
        <v>OK</v>
      </c>
    </row>
    <row r="144">
      <c r="A144" t="s">
        <v>166</v>
      </c>
      <c r="B144" t="s">
        <v>26</v>
      </c>
      <c r="C144" t="s">
        <v>5</v>
      </c>
      <c r="D144">
        <v>192</v>
      </c>
      <c r="E144" t="s">
        <v>27</v>
      </c>
      <c r="F144" s="1">
        <f>DATE(2026,3,7)</f>
        <v>46088</v>
      </c>
      <c r="G144" s="1">
        <f>DATE(2026,3,21)</f>
        <v>46102</v>
      </c>
      <c r="H144">
        <f>VLOOKUP($C144,Limits!$A$2:$B$6,2,FALSE)</f>
        <v>15000</v>
      </c>
      <c r="I144" t="str">
        <f>IF(D144&gt;H144,"OVER","OK")</f>
        <v>OK</v>
      </c>
      <c r="J144" t="str">
        <f>IF(G144="","OK",IF(G144&lt;F144,"BAD_DATE","OK"))</f>
        <v>OK</v>
      </c>
    </row>
    <row r="145">
      <c r="A145" t="s">
        <v>167</v>
      </c>
      <c r="B145" t="s">
        <v>30</v>
      </c>
      <c r="C145" t="s">
        <v>3</v>
      </c>
      <c r="D145">
        <v>17397</v>
      </c>
      <c r="E145" t="s">
        <v>17</v>
      </c>
      <c r="F145" s="1">
        <f>DATE(2026,5,3)</f>
        <v>46145</v>
      </c>
      <c r="H145">
        <f>VLOOKUP($C145,Limits!$A$2:$B$6,2,FALSE)</f>
        <v>20000</v>
      </c>
      <c r="I145" t="str">
        <f>IF(D145&gt;H145,"OVER","OK")</f>
        <v>OK</v>
      </c>
      <c r="J145" t="str">
        <f>IF(G145="","OK",IF(G145&lt;F145,"BAD_DATE","OK"))</f>
        <v>OK</v>
      </c>
    </row>
    <row r="146">
      <c r="A146" t="s">
        <v>168</v>
      </c>
      <c r="B146" t="s">
        <v>26</v>
      </c>
      <c r="C146" t="s">
        <v>4</v>
      </c>
      <c r="D146">
        <v>10611</v>
      </c>
      <c r="E146" t="s">
        <v>27</v>
      </c>
      <c r="F146" s="1">
        <f>DATE(2026,5,21)</f>
        <v>46163</v>
      </c>
      <c r="G146" s="1">
        <f>DATE(2026,5,27)</f>
        <v>46169</v>
      </c>
      <c r="H146">
        <f>VLOOKUP($C146,Limits!$A$2:$B$6,2,FALSE)</f>
        <v>10000</v>
      </c>
      <c r="I146" t="str">
        <f>IF(D146&gt;H146,"OVER","OK")</f>
        <v>OVER</v>
      </c>
      <c r="J146" t="str">
        <f>IF(G146="","OK",IF(G146&lt;F146,"BAD_DATE","OK"))</f>
        <v>OK</v>
      </c>
    </row>
    <row r="147">
      <c r="A147" t="s">
        <v>169</v>
      </c>
      <c r="B147" t="s">
        <v>21</v>
      </c>
      <c r="C147" t="s">
        <v>5</v>
      </c>
      <c r="D147">
        <v>15749</v>
      </c>
      <c r="E147" t="s">
        <v>17</v>
      </c>
      <c r="F147" s="1">
        <f>DATE(2026,2,1)</f>
        <v>46054</v>
      </c>
      <c r="H147">
        <f>VLOOKUP($C147,Limits!$A$2:$B$6,2,FALSE)</f>
        <v>15000</v>
      </c>
      <c r="I147" t="str">
        <f>IF(D147&gt;H147,"OVER","OK")</f>
        <v>OVER</v>
      </c>
      <c r="J147" t="str">
        <f>IF(G147="","OK",IF(G147&lt;F147,"BAD_DATE","OK"))</f>
        <v>OK</v>
      </c>
    </row>
    <row r="148">
      <c r="A148" t="s">
        <v>170</v>
      </c>
      <c r="B148" t="s">
        <v>16</v>
      </c>
      <c r="C148" t="s">
        <v>6</v>
      </c>
      <c r="D148">
        <v>1034</v>
      </c>
      <c r="E148" t="s">
        <v>27</v>
      </c>
      <c r="F148" s="1">
        <f>DATE(2026,6,16)</f>
        <v>46189</v>
      </c>
      <c r="G148" s="1">
        <f>DATE(2026,6,25)</f>
        <v>46198</v>
      </c>
      <c r="H148">
        <f>VLOOKUP($C148,Limits!$A$2:$B$6,2,FALSE)</f>
        <v>3000</v>
      </c>
      <c r="I148" t="str">
        <f>IF(D148&gt;H148,"OVER","OK")</f>
        <v>OK</v>
      </c>
      <c r="J148" t="str">
        <f>IF(G148="","OK",IF(G148&lt;F148,"BAD_DATE","OK"))</f>
        <v>OK</v>
      </c>
    </row>
    <row r="149">
      <c r="A149" t="s">
        <v>171</v>
      </c>
      <c r="B149" t="s">
        <v>37</v>
      </c>
      <c r="C149" t="s">
        <v>2</v>
      </c>
      <c r="D149">
        <v>14021</v>
      </c>
      <c r="E149" t="s">
        <v>27</v>
      </c>
      <c r="F149" s="1">
        <f>DATE(2026,1,3)</f>
        <v>46025</v>
      </c>
      <c r="G149" s="1">
        <f>DATE(2026,1,17)</f>
        <v>46039</v>
      </c>
      <c r="H149">
        <f>VLOOKUP($C149,Limits!$A$2:$B$6,2,FALSE)</f>
        <v>5000</v>
      </c>
      <c r="I149" t="str">
        <f>IF(D149&gt;H149,"OVER","OK")</f>
        <v>OVER</v>
      </c>
      <c r="J149" t="str">
        <f>IF(G149="","OK",IF(G149&lt;F149,"BAD_DATE","OK"))</f>
        <v>OK</v>
      </c>
    </row>
    <row r="150">
      <c r="A150" t="s">
        <v>172</v>
      </c>
      <c r="B150" t="s">
        <v>37</v>
      </c>
      <c r="C150" t="s">
        <v>3</v>
      </c>
      <c r="D150">
        <v>15597</v>
      </c>
      <c r="E150" t="s">
        <v>22</v>
      </c>
      <c r="F150" s="1">
        <f>DATE(2026,5,23)</f>
        <v>46165</v>
      </c>
      <c r="G150" s="1">
        <f>DATE(2026,5,47)</f>
        <v>46189</v>
      </c>
      <c r="H150">
        <f>VLOOKUP($C150,Limits!$A$2:$B$6,2,FALSE)</f>
        <v>20000</v>
      </c>
      <c r="I150" t="str">
        <f>IF(D150&gt;H150,"OVER","OK")</f>
        <v>OK</v>
      </c>
      <c r="J150" t="str">
        <f>IF(G150="","OK",IF(G150&lt;F150,"BAD_DATE","OK"))</f>
        <v>OK</v>
      </c>
    </row>
    <row r="151">
      <c r="A151" t="s">
        <v>173</v>
      </c>
      <c r="B151" t="s">
        <v>37</v>
      </c>
      <c r="C151" t="s">
        <v>6</v>
      </c>
      <c r="D151">
        <v>16300</v>
      </c>
      <c r="E151" t="s">
        <v>19</v>
      </c>
      <c r="F151" s="1">
        <f>DATE(2026,2,17)</f>
        <v>46070</v>
      </c>
      <c r="H151">
        <f>VLOOKUP($C151,Limits!$A$2:$B$6,2,FALSE)</f>
        <v>3000</v>
      </c>
      <c r="I151" t="str">
        <f>IF(D151&gt;H151,"OVER","OK")</f>
        <v>OVER</v>
      </c>
      <c r="J151" t="str">
        <f>IF(G151="","OK",IF(G151&lt;F151,"BAD_DATE","OK"))</f>
        <v>OK</v>
      </c>
    </row>
    <row r="152">
      <c r="A152" t="s">
        <v>174</v>
      </c>
      <c r="B152" t="s">
        <v>21</v>
      </c>
      <c r="C152" t="s">
        <v>5</v>
      </c>
      <c r="D152">
        <v>1752</v>
      </c>
      <c r="E152" t="s">
        <v>17</v>
      </c>
      <c r="F152" s="1">
        <f>DATE(2026,2,1)</f>
        <v>46054</v>
      </c>
      <c r="H152">
        <f>VLOOKUP($C152,Limits!$A$2:$B$6,2,FALSE)</f>
        <v>15000</v>
      </c>
      <c r="I152" t="str">
        <f>IF(D152&gt;H152,"OVER","OK")</f>
        <v>OK</v>
      </c>
      <c r="J152" t="str">
        <f>IF(G152="","OK",IF(G152&lt;F152,"BAD_DATE","OK"))</f>
        <v>OK</v>
      </c>
    </row>
    <row r="153">
      <c r="A153" t="s">
        <v>175</v>
      </c>
      <c r="B153" t="s">
        <v>30</v>
      </c>
      <c r="C153" t="s">
        <v>4</v>
      </c>
      <c r="D153">
        <v>17486</v>
      </c>
      <c r="E153" t="s">
        <v>22</v>
      </c>
      <c r="F153" s="1">
        <f>DATE(2026,6,10)</f>
        <v>46183</v>
      </c>
      <c r="G153" s="1">
        <f>DATE(2026,6,14)</f>
        <v>46187</v>
      </c>
      <c r="H153">
        <f>VLOOKUP($C153,Limits!$A$2:$B$6,2,FALSE)</f>
        <v>10000</v>
      </c>
      <c r="I153" t="str">
        <f>IF(D153&gt;H153,"OVER","OK")</f>
        <v>OVER</v>
      </c>
      <c r="J153" t="str">
        <f>IF(G153="","OK",IF(G153&lt;F153,"BAD_DATE","OK"))</f>
        <v>OK</v>
      </c>
    </row>
    <row r="154">
      <c r="A154" t="s">
        <v>176</v>
      </c>
      <c r="B154" t="s">
        <v>26</v>
      </c>
      <c r="C154" t="s">
        <v>4</v>
      </c>
      <c r="D154">
        <v>5290</v>
      </c>
      <c r="E154" t="s">
        <v>22</v>
      </c>
      <c r="F154" s="1">
        <f>DATE(2026,2,19)</f>
        <v>46072</v>
      </c>
      <c r="G154" s="1">
        <f>DATE(2026,2,44)</f>
        <v>46097</v>
      </c>
      <c r="H154">
        <f>VLOOKUP($C154,Limits!$A$2:$B$6,2,FALSE)</f>
        <v>10000</v>
      </c>
      <c r="I154" t="str">
        <f>IF(D154&gt;H154,"OVER","OK")</f>
        <v>OK</v>
      </c>
      <c r="J154" t="str">
        <f>IF(G154="","OK",IF(G154&lt;F154,"BAD_DATE","OK"))</f>
        <v>OK</v>
      </c>
    </row>
    <row r="155">
      <c r="A155" t="s">
        <v>177</v>
      </c>
      <c r="B155" t="s">
        <v>37</v>
      </c>
      <c r="C155" t="s">
        <v>2</v>
      </c>
      <c r="D155">
        <v>9286</v>
      </c>
      <c r="E155" t="s">
        <v>17</v>
      </c>
      <c r="F155" s="1">
        <f>DATE(2026,2,15)</f>
        <v>46068</v>
      </c>
      <c r="H155">
        <f>VLOOKUP($C155,Limits!$A$2:$B$6,2,FALSE)</f>
        <v>5000</v>
      </c>
      <c r="I155" t="str">
        <f>IF(D155&gt;H155,"OVER","OK")</f>
        <v>OVER</v>
      </c>
      <c r="J155" t="str">
        <f>IF(G155="","OK",IF(G155&lt;F155,"BAD_DATE","OK"))</f>
        <v>OK</v>
      </c>
    </row>
    <row r="156">
      <c r="A156" t="s">
        <v>178</v>
      </c>
      <c r="B156" t="s">
        <v>37</v>
      </c>
      <c r="C156" t="s">
        <v>4</v>
      </c>
      <c r="D156">
        <v>19667</v>
      </c>
      <c r="E156" t="s">
        <v>17</v>
      </c>
      <c r="F156" s="1">
        <f>DATE(2026,1,27)</f>
        <v>46049</v>
      </c>
      <c r="H156">
        <f>VLOOKUP($C156,Limits!$A$2:$B$6,2,FALSE)</f>
        <v>10000</v>
      </c>
      <c r="I156" t="str">
        <f>IF(D156&gt;H156,"OVER","OK")</f>
        <v>OVER</v>
      </c>
      <c r="J156" t="str">
        <f>IF(G156="","OK",IF(G156&lt;F156,"BAD_DATE","OK"))</f>
        <v>OK</v>
      </c>
    </row>
    <row r="157">
      <c r="A157" t="s">
        <v>179</v>
      </c>
      <c r="B157" t="s">
        <v>37</v>
      </c>
      <c r="C157" t="s">
        <v>2</v>
      </c>
      <c r="D157">
        <v>17152</v>
      </c>
      <c r="E157" t="s">
        <v>22</v>
      </c>
      <c r="F157" s="1">
        <f>DATE(2026,4,18)</f>
        <v>46130</v>
      </c>
      <c r="G157" s="1">
        <f>DATE(2026,4,29)</f>
        <v>46141</v>
      </c>
      <c r="H157">
        <f>VLOOKUP($C157,Limits!$A$2:$B$6,2,FALSE)</f>
        <v>5000</v>
      </c>
      <c r="I157" t="str">
        <f>IF(D157&gt;H157,"OVER","OK")</f>
        <v>OVER</v>
      </c>
      <c r="J157" t="str">
        <f>IF(G157="","OK",IF(G157&lt;F157,"BAD_DATE","OK"))</f>
        <v>OK</v>
      </c>
    </row>
    <row r="158">
      <c r="A158" t="s">
        <v>180</v>
      </c>
      <c r="B158" t="s">
        <v>16</v>
      </c>
      <c r="C158" t="s">
        <v>4</v>
      </c>
      <c r="D158">
        <v>161</v>
      </c>
      <c r="E158" t="s">
        <v>22</v>
      </c>
      <c r="F158" s="1">
        <f>DATE(2026,1,15)</f>
        <v>46037</v>
      </c>
      <c r="G158" s="1">
        <f>DATE(2026,1,16)</f>
        <v>46038</v>
      </c>
      <c r="H158">
        <f>VLOOKUP($C158,Limits!$A$2:$B$6,2,FALSE)</f>
        <v>10000</v>
      </c>
      <c r="I158" t="str">
        <f>IF(D158&gt;H158,"OVER","OK")</f>
        <v>OK</v>
      </c>
      <c r="J158" t="str">
        <f>IF(G158="","OK",IF(G158&lt;F158,"BAD_DATE","OK"))</f>
        <v>OK</v>
      </c>
    </row>
    <row r="159">
      <c r="A159" t="s">
        <v>181</v>
      </c>
      <c r="B159" t="s">
        <v>37</v>
      </c>
      <c r="C159" t="s">
        <v>5</v>
      </c>
      <c r="D159">
        <v>6692</v>
      </c>
      <c r="E159" t="s">
        <v>19</v>
      </c>
      <c r="F159" s="1">
        <f>DATE(2026,4,1)</f>
        <v>46113</v>
      </c>
      <c r="H159">
        <f>VLOOKUP($C159,Limits!$A$2:$B$6,2,FALSE)</f>
        <v>15000</v>
      </c>
      <c r="I159" t="str">
        <f>IF(D159&gt;H159,"OVER","OK")</f>
        <v>OK</v>
      </c>
      <c r="J159" t="str">
        <f>IF(G159="","OK",IF(G159&lt;F159,"BAD_DATE","OK"))</f>
        <v>OK</v>
      </c>
    </row>
    <row r="160">
      <c r="A160" t="s">
        <v>182</v>
      </c>
      <c r="B160" t="s">
        <v>37</v>
      </c>
      <c r="C160" t="s">
        <v>6</v>
      </c>
      <c r="D160">
        <v>15462</v>
      </c>
      <c r="E160" t="s">
        <v>17</v>
      </c>
      <c r="F160" s="1">
        <f>DATE(2026,1,17)</f>
        <v>46039</v>
      </c>
      <c r="H160">
        <f>VLOOKUP($C160,Limits!$A$2:$B$6,2,FALSE)</f>
        <v>3000</v>
      </c>
      <c r="I160" t="str">
        <f>IF(D160&gt;H160,"OVER","OK")</f>
        <v>OVER</v>
      </c>
      <c r="J160" t="str">
        <f>IF(G160="","OK",IF(G160&lt;F160,"BAD_DATE","OK"))</f>
        <v>OK</v>
      </c>
    </row>
    <row r="161">
      <c r="A161" t="s">
        <v>183</v>
      </c>
      <c r="B161" t="s">
        <v>26</v>
      </c>
      <c r="C161" t="s">
        <v>5</v>
      </c>
      <c r="D161">
        <v>2555</v>
      </c>
      <c r="E161" t="s">
        <v>17</v>
      </c>
      <c r="F161" s="1">
        <f>DATE(2026,1,1)</f>
        <v>46023</v>
      </c>
      <c r="H161">
        <f>VLOOKUP($C161,Limits!$A$2:$B$6,2,FALSE)</f>
        <v>15000</v>
      </c>
      <c r="I161" t="str">
        <f>IF(D161&gt;H161,"OVER","OK")</f>
        <v>OK</v>
      </c>
      <c r="J161" t="str">
        <f>IF(G161="","OK",IF(G161&lt;F161,"BAD_DATE","OK"))</f>
        <v>OK</v>
      </c>
    </row>
    <row r="162">
      <c r="A162" t="s">
        <v>184</v>
      </c>
      <c r="B162" t="s">
        <v>26</v>
      </c>
      <c r="C162" t="s">
        <v>5</v>
      </c>
      <c r="D162">
        <v>24513</v>
      </c>
      <c r="E162" t="s">
        <v>17</v>
      </c>
      <c r="F162" s="1">
        <f>DATE(2026,5,4)</f>
        <v>46146</v>
      </c>
      <c r="H162">
        <f>VLOOKUP($C162,Limits!$A$2:$B$6,2,FALSE)</f>
        <v>15000</v>
      </c>
      <c r="I162" t="str">
        <f>IF(D162&gt;H162,"OVER","OK")</f>
        <v>OVER</v>
      </c>
      <c r="J162" t="str">
        <f>IF(G162="","OK",IF(G162&lt;F162,"BAD_DATE","OK"))</f>
        <v>OK</v>
      </c>
    </row>
    <row r="163">
      <c r="A163" t="s">
        <v>185</v>
      </c>
      <c r="B163" t="s">
        <v>37</v>
      </c>
      <c r="C163" t="s">
        <v>3</v>
      </c>
      <c r="D163">
        <v>12390</v>
      </c>
      <c r="E163" t="s">
        <v>22</v>
      </c>
      <c r="F163" s="1">
        <f>DATE(2026,2,13)</f>
        <v>46066</v>
      </c>
      <c r="G163" s="1">
        <f>DATE(2026,2,41)</f>
        <v>46094</v>
      </c>
      <c r="H163">
        <f>VLOOKUP($C163,Limits!$A$2:$B$6,2,FALSE)</f>
        <v>20000</v>
      </c>
      <c r="I163" t="str">
        <f>IF(D163&gt;H163,"OVER","OK")</f>
        <v>OK</v>
      </c>
      <c r="J163" t="str">
        <f>IF(G163="","OK",IF(G163&lt;F163,"BAD_DATE","OK"))</f>
        <v>OK</v>
      </c>
    </row>
    <row r="164">
      <c r="A164" t="s">
        <v>186</v>
      </c>
      <c r="B164" t="s">
        <v>21</v>
      </c>
      <c r="C164" t="s">
        <v>4</v>
      </c>
      <c r="D164">
        <v>1594</v>
      </c>
      <c r="E164" t="s">
        <v>19</v>
      </c>
      <c r="F164" s="1">
        <f>DATE(2026,4,3)</f>
        <v>46115</v>
      </c>
      <c r="H164">
        <f>VLOOKUP($C164,Limits!$A$2:$B$6,2,FALSE)</f>
        <v>10000</v>
      </c>
      <c r="I164" t="str">
        <f>IF(D164&gt;H164,"OVER","OK")</f>
        <v>OK</v>
      </c>
      <c r="J164" t="str">
        <f>IF(G164="","OK",IF(G164&lt;F164,"BAD_DATE","OK"))</f>
        <v>OK</v>
      </c>
    </row>
    <row r="165">
      <c r="A165" t="s">
        <v>187</v>
      </c>
      <c r="B165" t="s">
        <v>26</v>
      </c>
      <c r="C165" t="s">
        <v>5</v>
      </c>
      <c r="D165">
        <v>14445</v>
      </c>
      <c r="E165" t="s">
        <v>27</v>
      </c>
      <c r="F165" s="1">
        <f>DATE(2026,5,4)</f>
        <v>46146</v>
      </c>
      <c r="G165" s="1">
        <f>DATE(2026,5,16)</f>
        <v>46158</v>
      </c>
      <c r="H165">
        <f>VLOOKUP($C165,Limits!$A$2:$B$6,2,FALSE)</f>
        <v>15000</v>
      </c>
      <c r="I165" t="str">
        <f>IF(D165&gt;H165,"OVER","OK")</f>
        <v>OK</v>
      </c>
      <c r="J165" t="str">
        <f>IF(G165="","OK",IF(G165&lt;F165,"BAD_DATE","OK"))</f>
        <v>OK</v>
      </c>
    </row>
    <row r="166">
      <c r="A166" t="s">
        <v>188</v>
      </c>
      <c r="B166" t="s">
        <v>26</v>
      </c>
      <c r="C166" t="s">
        <v>4</v>
      </c>
      <c r="D166">
        <v>397</v>
      </c>
      <c r="E166" t="s">
        <v>17</v>
      </c>
      <c r="F166" s="1">
        <f>DATE(2026,4,9)</f>
        <v>46121</v>
      </c>
      <c r="H166">
        <f>VLOOKUP($C166,Limits!$A$2:$B$6,2,FALSE)</f>
        <v>10000</v>
      </c>
      <c r="I166" t="str">
        <f>IF(D166&gt;H166,"OVER","OK")</f>
        <v>OK</v>
      </c>
      <c r="J166" t="str">
        <f>IF(G166="","OK",IF(G166&lt;F166,"BAD_DATE","OK"))</f>
        <v>OK</v>
      </c>
    </row>
    <row r="167">
      <c r="A167" t="s">
        <v>189</v>
      </c>
      <c r="B167" t="s">
        <v>30</v>
      </c>
      <c r="C167" t="s">
        <v>4</v>
      </c>
      <c r="D167">
        <v>5270</v>
      </c>
      <c r="E167" t="s">
        <v>22</v>
      </c>
      <c r="F167" s="1">
        <f>DATE(2026,6,18)</f>
        <v>46191</v>
      </c>
      <c r="G167" s="1">
        <f>DATE(2026,6,20)</f>
        <v>46193</v>
      </c>
      <c r="H167">
        <f>VLOOKUP($C167,Limits!$A$2:$B$6,2,FALSE)</f>
        <v>10000</v>
      </c>
      <c r="I167" t="str">
        <f>IF(D167&gt;H167,"OVER","OK")</f>
        <v>OK</v>
      </c>
      <c r="J167" t="str">
        <f>IF(G167="","OK",IF(G167&lt;F167,"BAD_DATE","OK"))</f>
        <v>OK</v>
      </c>
    </row>
    <row r="168">
      <c r="A168" t="s">
        <v>190</v>
      </c>
      <c r="B168" t="s">
        <v>21</v>
      </c>
      <c r="C168" t="s">
        <v>3</v>
      </c>
      <c r="D168">
        <v>146</v>
      </c>
      <c r="E168" t="s">
        <v>22</v>
      </c>
      <c r="F168" s="1">
        <f>DATE(2026,5,5)</f>
        <v>46147</v>
      </c>
      <c r="G168" s="1">
        <f>DATE(2026,5,18)</f>
        <v>46160</v>
      </c>
      <c r="H168">
        <f>VLOOKUP($C168,Limits!$A$2:$B$6,2,FALSE)</f>
        <v>20000</v>
      </c>
      <c r="I168" t="str">
        <f>IF(D168&gt;H168,"OVER","OK")</f>
        <v>OK</v>
      </c>
      <c r="J168" t="str">
        <f>IF(G168="","OK",IF(G168&lt;F168,"BAD_DATE","OK"))</f>
        <v>OK</v>
      </c>
    </row>
    <row r="169">
      <c r="A169" t="s">
        <v>191</v>
      </c>
      <c r="B169" t="s">
        <v>16</v>
      </c>
      <c r="C169" t="s">
        <v>5</v>
      </c>
      <c r="D169">
        <v>24279</v>
      </c>
      <c r="E169" t="s">
        <v>27</v>
      </c>
      <c r="F169" s="1">
        <f>DATE(2026,3,9)</f>
        <v>46090</v>
      </c>
      <c r="G169" s="1">
        <f>DATE(2026,3,19)</f>
        <v>46100</v>
      </c>
      <c r="H169">
        <f>VLOOKUP($C169,Limits!$A$2:$B$6,2,FALSE)</f>
        <v>15000</v>
      </c>
      <c r="I169" t="str">
        <f>IF(D169&gt;H169,"OVER","OK")</f>
        <v>OVER</v>
      </c>
      <c r="J169" t="str">
        <f>IF(G169="","OK",IF(G169&lt;F169,"BAD_DATE","OK"))</f>
        <v>OK</v>
      </c>
    </row>
    <row r="170">
      <c r="A170" t="s">
        <v>192</v>
      </c>
      <c r="B170" t="s">
        <v>26</v>
      </c>
      <c r="C170" t="s">
        <v>3</v>
      </c>
      <c r="D170">
        <v>14742</v>
      </c>
      <c r="E170" t="s">
        <v>19</v>
      </c>
      <c r="F170" s="1">
        <f>DATE(2026,2,20)</f>
        <v>46073</v>
      </c>
      <c r="H170">
        <f>VLOOKUP($C170,Limits!$A$2:$B$6,2,FALSE)</f>
        <v>20000</v>
      </c>
      <c r="I170" t="str">
        <f>IF(D170&gt;H170,"OVER","OK")</f>
        <v>OK</v>
      </c>
      <c r="J170" t="str">
        <f>IF(G170="","OK",IF(G170&lt;F170,"BAD_DATE","OK"))</f>
        <v>OK</v>
      </c>
    </row>
    <row r="171">
      <c r="A171" t="s">
        <v>193</v>
      </c>
      <c r="B171" t="s">
        <v>37</v>
      </c>
      <c r="C171" t="s">
        <v>6</v>
      </c>
      <c r="D171">
        <v>14311</v>
      </c>
      <c r="E171" t="s">
        <v>19</v>
      </c>
      <c r="F171" s="1">
        <f>DATE(2026,1,13)</f>
        <v>46035</v>
      </c>
      <c r="H171">
        <f>VLOOKUP($C171,Limits!$A$2:$B$6,2,FALSE)</f>
        <v>3000</v>
      </c>
      <c r="I171" t="str">
        <f>IF(D171&gt;H171,"OVER","OK")</f>
        <v>OVER</v>
      </c>
      <c r="J171" t="str">
        <f>IF(G171="","OK",IF(G171&lt;F171,"BAD_DATE","OK"))</f>
        <v>OK</v>
      </c>
    </row>
    <row r="172">
      <c r="A172" t="s">
        <v>194</v>
      </c>
      <c r="B172" t="s">
        <v>30</v>
      </c>
      <c r="C172" t="s">
        <v>6</v>
      </c>
      <c r="D172">
        <v>11714</v>
      </c>
      <c r="E172" t="s">
        <v>19</v>
      </c>
      <c r="F172" s="1">
        <f>DATE(2026,6,14)</f>
        <v>46187</v>
      </c>
      <c r="H172">
        <f>VLOOKUP($C172,Limits!$A$2:$B$6,2,FALSE)</f>
        <v>3000</v>
      </c>
      <c r="I172" t="str">
        <f>IF(D172&gt;H172,"OVER","OK")</f>
        <v>OVER</v>
      </c>
      <c r="J172" t="str">
        <f>IF(G172="","OK",IF(G172&lt;F172,"BAD_DATE","OK"))</f>
        <v>OK</v>
      </c>
    </row>
    <row r="173">
      <c r="A173" t="s">
        <v>195</v>
      </c>
      <c r="B173" t="s">
        <v>30</v>
      </c>
      <c r="C173" t="s">
        <v>5</v>
      </c>
      <c r="D173">
        <v>11146</v>
      </c>
      <c r="E173" t="s">
        <v>17</v>
      </c>
      <c r="F173" s="1">
        <f>DATE(2026,2,10)</f>
        <v>46063</v>
      </c>
      <c r="H173">
        <f>VLOOKUP($C173,Limits!$A$2:$B$6,2,FALSE)</f>
        <v>15000</v>
      </c>
      <c r="I173" t="str">
        <f>IF(D173&gt;H173,"OVER","OK")</f>
        <v>OK</v>
      </c>
      <c r="J173" t="str">
        <f>IF(G173="","OK",IF(G173&lt;F173,"BAD_DATE","OK"))</f>
        <v>OK</v>
      </c>
    </row>
    <row r="174">
      <c r="A174" t="s">
        <v>196</v>
      </c>
      <c r="B174" t="s">
        <v>16</v>
      </c>
      <c r="C174" t="s">
        <v>2</v>
      </c>
      <c r="D174">
        <v>20475</v>
      </c>
      <c r="E174" t="s">
        <v>22</v>
      </c>
      <c r="F174" s="1">
        <f>DATE(2026,5,25)</f>
        <v>46167</v>
      </c>
      <c r="G174" s="1">
        <f>DATE(2026,5,31)</f>
        <v>46173</v>
      </c>
      <c r="H174">
        <f>VLOOKUP($C174,Limits!$A$2:$B$6,2,FALSE)</f>
        <v>5000</v>
      </c>
      <c r="I174" t="str">
        <f>IF(D174&gt;H174,"OVER","OK")</f>
        <v>OVER</v>
      </c>
      <c r="J174" t="str">
        <f>IF(G174="","OK",IF(G174&lt;F174,"BAD_DATE","OK"))</f>
        <v>OK</v>
      </c>
    </row>
    <row r="175">
      <c r="A175" t="s">
        <v>197</v>
      </c>
      <c r="B175" t="s">
        <v>16</v>
      </c>
      <c r="C175" t="s">
        <v>3</v>
      </c>
      <c r="D175">
        <v>18208</v>
      </c>
      <c r="E175" t="s">
        <v>27</v>
      </c>
      <c r="F175" s="1">
        <f>DATE(2026,5,4)</f>
        <v>46146</v>
      </c>
      <c r="G175" s="1">
        <f>DATE(2026,5,29)</f>
        <v>46171</v>
      </c>
      <c r="H175">
        <f>VLOOKUP($C175,Limits!$A$2:$B$6,2,FALSE)</f>
        <v>20000</v>
      </c>
      <c r="I175" t="str">
        <f>IF(D175&gt;H175,"OVER","OK")</f>
        <v>OK</v>
      </c>
      <c r="J175" t="str">
        <f>IF(G175="","OK",IF(G175&lt;F175,"BAD_DATE","OK"))</f>
        <v>OK</v>
      </c>
    </row>
    <row r="176">
      <c r="A176" t="s">
        <v>198</v>
      </c>
      <c r="B176" t="s">
        <v>37</v>
      </c>
      <c r="C176" t="s">
        <v>6</v>
      </c>
      <c r="D176">
        <v>1556</v>
      </c>
      <c r="E176" t="s">
        <v>27</v>
      </c>
      <c r="F176" s="1">
        <f>DATE(2026,5,17)</f>
        <v>46159</v>
      </c>
      <c r="G176" s="1">
        <f>DATE(2026,5,19)</f>
        <v>46161</v>
      </c>
      <c r="H176">
        <f>VLOOKUP($C176,Limits!$A$2:$B$6,2,FALSE)</f>
        <v>3000</v>
      </c>
      <c r="I176" t="str">
        <f>IF(D176&gt;H176,"OVER","OK")</f>
        <v>OK</v>
      </c>
      <c r="J176" t="str">
        <f>IF(G176="","OK",IF(G176&lt;F176,"BAD_DATE","OK"))</f>
        <v>OK</v>
      </c>
    </row>
    <row r="177">
      <c r="A177" t="s">
        <v>199</v>
      </c>
      <c r="B177" t="s">
        <v>16</v>
      </c>
      <c r="C177" t="s">
        <v>5</v>
      </c>
      <c r="D177">
        <v>7360</v>
      </c>
      <c r="E177" t="s">
        <v>22</v>
      </c>
      <c r="F177" s="1">
        <f>DATE(2026,4,9)</f>
        <v>46121</v>
      </c>
      <c r="G177" s="1">
        <f>DATE(2026,4,21)</f>
        <v>46133</v>
      </c>
      <c r="H177">
        <f>VLOOKUP($C177,Limits!$A$2:$B$6,2,FALSE)</f>
        <v>15000</v>
      </c>
      <c r="I177" t="str">
        <f>IF(D177&gt;H177,"OVER","OK")</f>
        <v>OK</v>
      </c>
      <c r="J177" t="str">
        <f>IF(G177="","OK",IF(G177&lt;F177,"BAD_DATE","OK"))</f>
        <v>OK</v>
      </c>
    </row>
    <row r="178">
      <c r="A178" t="s">
        <v>200</v>
      </c>
      <c r="B178" t="s">
        <v>21</v>
      </c>
      <c r="C178" t="s">
        <v>3</v>
      </c>
      <c r="D178">
        <v>3705</v>
      </c>
      <c r="E178" t="s">
        <v>19</v>
      </c>
      <c r="F178" s="1">
        <f>DATE(2026,2,26)</f>
        <v>46079</v>
      </c>
      <c r="H178">
        <f>VLOOKUP($C178,Limits!$A$2:$B$6,2,FALSE)</f>
        <v>20000</v>
      </c>
      <c r="I178" t="str">
        <f>IF(D178&gt;H178,"OVER","OK")</f>
        <v>OK</v>
      </c>
      <c r="J178" t="str">
        <f>IF(G178="","OK",IF(G178&lt;F178,"BAD_DATE","OK"))</f>
        <v>OK</v>
      </c>
    </row>
    <row r="179">
      <c r="A179" t="s">
        <v>201</v>
      </c>
      <c r="B179" t="s">
        <v>26</v>
      </c>
      <c r="C179" t="s">
        <v>6</v>
      </c>
      <c r="D179">
        <v>11834</v>
      </c>
      <c r="E179" t="s">
        <v>19</v>
      </c>
      <c r="F179" s="1">
        <f>DATE(2026,3,19)</f>
        <v>46100</v>
      </c>
      <c r="H179">
        <f>VLOOKUP($C179,Limits!$A$2:$B$6,2,FALSE)</f>
        <v>3000</v>
      </c>
      <c r="I179" t="str">
        <f>IF(D179&gt;H179,"OVER","OK")</f>
        <v>OVER</v>
      </c>
      <c r="J179" t="str">
        <f>IF(G179="","OK",IF(G179&lt;F179,"BAD_DATE","OK"))</f>
        <v>OK</v>
      </c>
    </row>
    <row r="180">
      <c r="A180" t="s">
        <v>202</v>
      </c>
      <c r="B180" t="s">
        <v>30</v>
      </c>
      <c r="C180" t="s">
        <v>3</v>
      </c>
      <c r="D180">
        <v>9829</v>
      </c>
      <c r="E180" t="s">
        <v>27</v>
      </c>
      <c r="F180" s="1">
        <f>DATE(2026,1,28)</f>
        <v>46050</v>
      </c>
      <c r="G180" s="1">
        <f>DATE(2026,1,34)</f>
        <v>46056</v>
      </c>
      <c r="H180">
        <f>VLOOKUP($C180,Limits!$A$2:$B$6,2,FALSE)</f>
        <v>20000</v>
      </c>
      <c r="I180" t="str">
        <f>IF(D180&gt;H180,"OVER","OK")</f>
        <v>OK</v>
      </c>
      <c r="J180" t="str">
        <f>IF(G180="","OK",IF(G180&lt;F180,"BAD_DATE","OK"))</f>
        <v>OK</v>
      </c>
    </row>
    <row r="181">
      <c r="A181" t="s">
        <v>203</v>
      </c>
      <c r="B181" t="s">
        <v>26</v>
      </c>
      <c r="C181" t="s">
        <v>2</v>
      </c>
      <c r="D181">
        <v>14569</v>
      </c>
      <c r="E181" t="s">
        <v>27</v>
      </c>
      <c r="F181" s="1">
        <f>DATE(2026,3,17)</f>
        <v>46098</v>
      </c>
      <c r="G181" s="1">
        <f>DATE(2026,3,42)</f>
        <v>46123</v>
      </c>
      <c r="H181">
        <f>VLOOKUP($C181,Limits!$A$2:$B$6,2,FALSE)</f>
        <v>5000</v>
      </c>
      <c r="I181" t="str">
        <f>IF(D181&gt;H181,"OVER","OK")</f>
        <v>OVER</v>
      </c>
      <c r="J181" t="str">
        <f>IF(G181="","OK",IF(G181&lt;F181,"BAD_DATE","OK"))</f>
        <v>OK</v>
      </c>
    </row>
    <row r="182">
      <c r="A182" t="s">
        <v>204</v>
      </c>
      <c r="B182" t="s">
        <v>16</v>
      </c>
      <c r="C182" t="s">
        <v>2</v>
      </c>
      <c r="D182">
        <v>22996</v>
      </c>
      <c r="E182" t="s">
        <v>22</v>
      </c>
      <c r="F182" s="1">
        <f>DATE(2026,1,14)</f>
        <v>46036</v>
      </c>
      <c r="G182" s="1">
        <f>DATE(2026,1,26)</f>
        <v>46048</v>
      </c>
      <c r="H182">
        <f>VLOOKUP($C182,Limits!$A$2:$B$6,2,FALSE)</f>
        <v>5000</v>
      </c>
      <c r="I182" t="str">
        <f>IF(D182&gt;H182,"OVER","OK")</f>
        <v>OVER</v>
      </c>
      <c r="J182" t="str">
        <f>IF(G182="","OK",IF(G182&lt;F182,"BAD_DATE","OK"))</f>
        <v>OK</v>
      </c>
    </row>
    <row r="183">
      <c r="A183" t="s">
        <v>205</v>
      </c>
      <c r="B183" t="s">
        <v>26</v>
      </c>
      <c r="C183" t="s">
        <v>2</v>
      </c>
      <c r="D183">
        <v>8233</v>
      </c>
      <c r="E183" t="s">
        <v>27</v>
      </c>
      <c r="F183" s="1">
        <f>DATE(2026,3,17)</f>
        <v>46098</v>
      </c>
      <c r="G183" s="1">
        <f>DATE(2026,3,27)</f>
        <v>46108</v>
      </c>
      <c r="H183">
        <f>VLOOKUP($C183,Limits!$A$2:$B$6,2,FALSE)</f>
        <v>5000</v>
      </c>
      <c r="I183" t="str">
        <f>IF(D183&gt;H183,"OVER","OK")</f>
        <v>OVER</v>
      </c>
      <c r="J183" t="str">
        <f>IF(G183="","OK",IF(G183&lt;F183,"BAD_DATE","OK"))</f>
        <v>OK</v>
      </c>
    </row>
    <row r="184">
      <c r="A184" t="s">
        <v>206</v>
      </c>
      <c r="B184" t="s">
        <v>16</v>
      </c>
      <c r="C184" t="s">
        <v>6</v>
      </c>
      <c r="D184">
        <v>11467</v>
      </c>
      <c r="E184" t="s">
        <v>17</v>
      </c>
      <c r="F184" s="1">
        <f>DATE(2026,6,6)</f>
        <v>46179</v>
      </c>
      <c r="H184">
        <f>VLOOKUP($C184,Limits!$A$2:$B$6,2,FALSE)</f>
        <v>3000</v>
      </c>
      <c r="I184" t="str">
        <f>IF(D184&gt;H184,"OVER","OK")</f>
        <v>OVER</v>
      </c>
      <c r="J184" t="str">
        <f>IF(G184="","OK",IF(G184&lt;F184,"BAD_DATE","OK"))</f>
        <v>OK</v>
      </c>
    </row>
    <row r="185">
      <c r="A185" t="s">
        <v>207</v>
      </c>
      <c r="B185" t="s">
        <v>26</v>
      </c>
      <c r="C185" t="s">
        <v>5</v>
      </c>
      <c r="D185">
        <v>21337</v>
      </c>
      <c r="E185" t="s">
        <v>19</v>
      </c>
      <c r="F185" s="1">
        <f>DATE(2026,1,13)</f>
        <v>46035</v>
      </c>
      <c r="H185">
        <f>VLOOKUP($C185,Limits!$A$2:$B$6,2,FALSE)</f>
        <v>15000</v>
      </c>
      <c r="I185" t="str">
        <f>IF(D185&gt;H185,"OVER","OK")</f>
        <v>OVER</v>
      </c>
      <c r="J185" t="str">
        <f>IF(G185="","OK",IF(G185&lt;F185,"BAD_DATE","OK"))</f>
        <v>OK</v>
      </c>
    </row>
    <row r="186">
      <c r="A186" t="s">
        <v>208</v>
      </c>
      <c r="B186" t="s">
        <v>30</v>
      </c>
      <c r="C186" t="s">
        <v>3</v>
      </c>
      <c r="D186">
        <v>7430</v>
      </c>
      <c r="E186" t="s">
        <v>22</v>
      </c>
      <c r="F186" s="1">
        <f>DATE(2026,3,19)</f>
        <v>46100</v>
      </c>
      <c r="G186" s="1">
        <f>DATE(2026,3,38)</f>
        <v>46119</v>
      </c>
      <c r="H186">
        <f>VLOOKUP($C186,Limits!$A$2:$B$6,2,FALSE)</f>
        <v>20000</v>
      </c>
      <c r="I186" t="str">
        <f>IF(D186&gt;H186,"OVER","OK")</f>
        <v>OK</v>
      </c>
      <c r="J186" t="str">
        <f>IF(G186="","OK",IF(G186&lt;F186,"BAD_DATE","OK"))</f>
        <v>OK</v>
      </c>
    </row>
    <row r="187">
      <c r="A187" t="s">
        <v>209</v>
      </c>
      <c r="B187" t="s">
        <v>26</v>
      </c>
      <c r="C187" t="s">
        <v>5</v>
      </c>
      <c r="D187">
        <v>21291</v>
      </c>
      <c r="E187" t="s">
        <v>19</v>
      </c>
      <c r="F187" s="1">
        <f>DATE(2026,6,3)</f>
        <v>46176</v>
      </c>
      <c r="H187">
        <f>VLOOKUP($C187,Limits!$A$2:$B$6,2,FALSE)</f>
        <v>15000</v>
      </c>
      <c r="I187" t="str">
        <f>IF(D187&gt;H187,"OVER","OK")</f>
        <v>OVER</v>
      </c>
      <c r="J187" t="str">
        <f>IF(G187="","OK",IF(G187&lt;F187,"BAD_DATE","OK"))</f>
        <v>OK</v>
      </c>
    </row>
    <row r="188">
      <c r="A188" t="s">
        <v>210</v>
      </c>
      <c r="B188" t="s">
        <v>21</v>
      </c>
      <c r="C188" t="s">
        <v>4</v>
      </c>
      <c r="D188">
        <v>7125</v>
      </c>
      <c r="E188" t="s">
        <v>22</v>
      </c>
      <c r="F188" s="1">
        <f>DATE(2026,2,20)</f>
        <v>46073</v>
      </c>
      <c r="G188" s="1">
        <f>DATE(2026,2,38)</f>
        <v>46091</v>
      </c>
      <c r="H188">
        <f>VLOOKUP($C188,Limits!$A$2:$B$6,2,FALSE)</f>
        <v>10000</v>
      </c>
      <c r="I188" t="str">
        <f>IF(D188&gt;H188,"OVER","OK")</f>
        <v>OK</v>
      </c>
      <c r="J188" t="str">
        <f>IF(G188="","OK",IF(G188&lt;F188,"BAD_DATE","OK"))</f>
        <v>OK</v>
      </c>
    </row>
    <row r="189">
      <c r="A189" t="s">
        <v>211</v>
      </c>
      <c r="B189" t="s">
        <v>26</v>
      </c>
      <c r="C189" t="s">
        <v>4</v>
      </c>
      <c r="D189">
        <v>20430</v>
      </c>
      <c r="E189" t="s">
        <v>22</v>
      </c>
      <c r="F189" s="1">
        <f>DATE(2026,1,23)</f>
        <v>46045</v>
      </c>
      <c r="G189" s="1">
        <f>DATE(2026,1,31)</f>
        <v>46053</v>
      </c>
      <c r="H189">
        <f>VLOOKUP($C189,Limits!$A$2:$B$6,2,FALSE)</f>
        <v>10000</v>
      </c>
      <c r="I189" t="str">
        <f>IF(D189&gt;H189,"OVER","OK")</f>
        <v>OVER</v>
      </c>
      <c r="J189" t="str">
        <f>IF(G189="","OK",IF(G189&lt;F189,"BAD_DATE","OK"))</f>
        <v>OK</v>
      </c>
    </row>
    <row r="190">
      <c r="A190" t="s">
        <v>212</v>
      </c>
      <c r="B190" t="s">
        <v>30</v>
      </c>
      <c r="C190" t="s">
        <v>4</v>
      </c>
      <c r="D190">
        <v>11294</v>
      </c>
      <c r="E190" t="s">
        <v>27</v>
      </c>
      <c r="F190" s="1">
        <f>DATE(2026,2,12)</f>
        <v>46065</v>
      </c>
      <c r="G190" s="1">
        <f>DATE(2026,2,22)</f>
        <v>46075</v>
      </c>
      <c r="H190">
        <f>VLOOKUP($C190,Limits!$A$2:$B$6,2,FALSE)</f>
        <v>10000</v>
      </c>
      <c r="I190" t="str">
        <f>IF(D190&gt;H190,"OVER","OK")</f>
        <v>OVER</v>
      </c>
      <c r="J190" t="str">
        <f>IF(G190="","OK",IF(G190&lt;F190,"BAD_DATE","OK"))</f>
        <v>OK</v>
      </c>
    </row>
    <row r="191">
      <c r="A191" t="s">
        <v>213</v>
      </c>
      <c r="B191" t="s">
        <v>37</v>
      </c>
      <c r="C191" t="s">
        <v>6</v>
      </c>
      <c r="D191">
        <v>10846</v>
      </c>
      <c r="E191" t="s">
        <v>17</v>
      </c>
      <c r="F191" s="1">
        <f>DATE(2026,3,28)</f>
        <v>46109</v>
      </c>
      <c r="H191">
        <f>VLOOKUP($C191,Limits!$A$2:$B$6,2,FALSE)</f>
        <v>3000</v>
      </c>
      <c r="I191" t="str">
        <f>IF(D191&gt;H191,"OVER","OK")</f>
        <v>OVER</v>
      </c>
      <c r="J191" t="str">
        <f>IF(G191="","OK",IF(G191&lt;F191,"BAD_DATE","OK"))</f>
        <v>OK</v>
      </c>
    </row>
    <row r="192">
      <c r="A192" t="s">
        <v>214</v>
      </c>
      <c r="B192" t="s">
        <v>30</v>
      </c>
      <c r="C192" t="s">
        <v>3</v>
      </c>
      <c r="D192">
        <v>2621</v>
      </c>
      <c r="E192" t="s">
        <v>22</v>
      </c>
      <c r="F192" s="1">
        <f>DATE(2026,6,20)</f>
        <v>46193</v>
      </c>
      <c r="G192" s="1">
        <f>DATE(2026,6,22)</f>
        <v>46195</v>
      </c>
      <c r="H192">
        <f>VLOOKUP($C192,Limits!$A$2:$B$6,2,FALSE)</f>
        <v>20000</v>
      </c>
      <c r="I192" t="str">
        <f>IF(D192&gt;H192,"OVER","OK")</f>
        <v>OK</v>
      </c>
      <c r="J192" t="str">
        <f>IF(G192="","OK",IF(G192&lt;F192,"BAD_DATE","OK"))</f>
        <v>OK</v>
      </c>
    </row>
    <row r="193">
      <c r="A193" t="s">
        <v>215</v>
      </c>
      <c r="B193" t="s">
        <v>21</v>
      </c>
      <c r="C193" t="s">
        <v>2</v>
      </c>
      <c r="D193">
        <v>661</v>
      </c>
      <c r="E193" t="s">
        <v>22</v>
      </c>
      <c r="F193" s="1">
        <f>DATE(2026,6,23)</f>
        <v>46196</v>
      </c>
      <c r="G193" s="1">
        <f>DATE(2026,6,27)</f>
        <v>46200</v>
      </c>
      <c r="H193">
        <f>VLOOKUP($C193,Limits!$A$2:$B$6,2,FALSE)</f>
        <v>5000</v>
      </c>
      <c r="I193" t="str">
        <f>IF(D193&gt;H193,"OVER","OK")</f>
        <v>OK</v>
      </c>
      <c r="J193" t="str">
        <f>IF(G193="","OK",IF(G193&lt;F193,"BAD_DATE","OK"))</f>
        <v>OK</v>
      </c>
    </row>
    <row r="194">
      <c r="A194" t="s">
        <v>216</v>
      </c>
      <c r="B194" t="s">
        <v>26</v>
      </c>
      <c r="C194" t="s">
        <v>2</v>
      </c>
      <c r="D194">
        <v>5816</v>
      </c>
      <c r="E194" t="s">
        <v>27</v>
      </c>
      <c r="F194" s="1">
        <f>DATE(2026,4,6)</f>
        <v>46118</v>
      </c>
      <c r="G194" s="1">
        <f>DATE(2026,4,28)</f>
        <v>46140</v>
      </c>
      <c r="H194">
        <f>VLOOKUP($C194,Limits!$A$2:$B$6,2,FALSE)</f>
        <v>5000</v>
      </c>
      <c r="I194" t="str">
        <f>IF(D194&gt;H194,"OVER","OK")</f>
        <v>OVER</v>
      </c>
      <c r="J194" t="str">
        <f>IF(G194="","OK",IF(G194&lt;F194,"BAD_DATE","OK"))</f>
        <v>OK</v>
      </c>
    </row>
    <row r="195">
      <c r="A195" t="s">
        <v>217</v>
      </c>
      <c r="B195" t="s">
        <v>16</v>
      </c>
      <c r="C195" t="s">
        <v>2</v>
      </c>
      <c r="D195">
        <v>4516</v>
      </c>
      <c r="E195" t="s">
        <v>27</v>
      </c>
      <c r="F195" s="1">
        <f>DATE(2026,6,7)</f>
        <v>46180</v>
      </c>
      <c r="G195" s="1">
        <f>DATE(2026,6,32)</f>
        <v>46205</v>
      </c>
      <c r="H195">
        <f>VLOOKUP($C195,Limits!$A$2:$B$6,2,FALSE)</f>
        <v>5000</v>
      </c>
      <c r="I195" t="str">
        <f>IF(D195&gt;H195,"OVER","OK")</f>
        <v>OK</v>
      </c>
      <c r="J195" t="str">
        <f>IF(G195="","OK",IF(G195&lt;F195,"BAD_DATE","OK"))</f>
        <v>OK</v>
      </c>
    </row>
    <row r="196">
      <c r="A196" t="s">
        <v>218</v>
      </c>
      <c r="B196" t="s">
        <v>30</v>
      </c>
      <c r="C196" t="s">
        <v>6</v>
      </c>
      <c r="D196">
        <v>12868</v>
      </c>
      <c r="E196" t="s">
        <v>19</v>
      </c>
      <c r="F196" s="1">
        <f>DATE(2026,5,1)</f>
        <v>46143</v>
      </c>
      <c r="H196">
        <f>VLOOKUP($C196,Limits!$A$2:$B$6,2,FALSE)</f>
        <v>3000</v>
      </c>
      <c r="I196" t="str">
        <f>IF(D196&gt;H196,"OVER","OK")</f>
        <v>OVER</v>
      </c>
      <c r="J196" t="str">
        <f>IF(G196="","OK",IF(G196&lt;F196,"BAD_DATE","OK"))</f>
        <v>OK</v>
      </c>
    </row>
    <row r="197">
      <c r="A197" t="s">
        <v>219</v>
      </c>
      <c r="B197" t="s">
        <v>26</v>
      </c>
      <c r="C197" t="s">
        <v>4</v>
      </c>
      <c r="D197">
        <v>19944</v>
      </c>
      <c r="E197" t="s">
        <v>17</v>
      </c>
      <c r="F197" s="1">
        <f>DATE(2026,3,17)</f>
        <v>46098</v>
      </c>
      <c r="H197">
        <f>VLOOKUP($C197,Limits!$A$2:$B$6,2,FALSE)</f>
        <v>10000</v>
      </c>
      <c r="I197" t="str">
        <f>IF(D197&gt;H197,"OVER","OK")</f>
        <v>OVER</v>
      </c>
      <c r="J197" t="str">
        <f>IF(G197="","OK",IF(G197&lt;F197,"BAD_DATE","OK"))</f>
        <v>OK</v>
      </c>
    </row>
    <row r="198">
      <c r="A198" t="s">
        <v>220</v>
      </c>
      <c r="B198" t="s">
        <v>37</v>
      </c>
      <c r="C198" t="s">
        <v>2</v>
      </c>
      <c r="D198">
        <v>22411</v>
      </c>
      <c r="E198" t="s">
        <v>17</v>
      </c>
      <c r="F198" s="1">
        <f>DATE(2026,1,10)</f>
        <v>46032</v>
      </c>
      <c r="H198">
        <f>VLOOKUP($C198,Limits!$A$2:$B$6,2,FALSE)</f>
        <v>5000</v>
      </c>
      <c r="I198" t="str">
        <f>IF(D198&gt;H198,"OVER","OK")</f>
        <v>OVER</v>
      </c>
      <c r="J198" t="str">
        <f>IF(G198="","OK",IF(G198&lt;F198,"BAD_DATE","OK"))</f>
        <v>OK</v>
      </c>
    </row>
    <row r="199">
      <c r="A199" t="s">
        <v>221</v>
      </c>
      <c r="B199" t="s">
        <v>37</v>
      </c>
      <c r="C199" t="s">
        <v>3</v>
      </c>
      <c r="D199">
        <v>7561</v>
      </c>
      <c r="E199" t="s">
        <v>17</v>
      </c>
      <c r="F199" s="1">
        <f>DATE(2026,4,16)</f>
        <v>46128</v>
      </c>
      <c r="H199">
        <f>VLOOKUP($C199,Limits!$A$2:$B$6,2,FALSE)</f>
        <v>20000</v>
      </c>
      <c r="I199" t="str">
        <f>IF(D199&gt;H199,"OVER","OK")</f>
        <v>OK</v>
      </c>
      <c r="J199" t="str">
        <f>IF(G199="","OK",IF(G199&lt;F199,"BAD_DATE","OK"))</f>
        <v>OK</v>
      </c>
    </row>
    <row r="200">
      <c r="A200" t="s">
        <v>222</v>
      </c>
      <c r="B200" t="s">
        <v>30</v>
      </c>
      <c r="C200" t="s">
        <v>3</v>
      </c>
      <c r="D200">
        <v>2479</v>
      </c>
      <c r="E200" t="s">
        <v>19</v>
      </c>
      <c r="F200" s="1">
        <f>DATE(2026,6,22)</f>
        <v>46195</v>
      </c>
      <c r="H200">
        <f>VLOOKUP($C200,Limits!$A$2:$B$6,2,FALSE)</f>
        <v>20000</v>
      </c>
      <c r="I200" t="str">
        <f>IF(D200&gt;H200,"OVER","OK")</f>
        <v>OK</v>
      </c>
      <c r="J200" t="str">
        <f>IF(G200="","OK",IF(G200&lt;F200,"BAD_DATE","OK"))</f>
        <v>OK</v>
      </c>
    </row>
    <row r="201">
      <c r="A201" t="s">
        <v>223</v>
      </c>
      <c r="B201" t="s">
        <v>21</v>
      </c>
      <c r="C201" t="s">
        <v>3</v>
      </c>
      <c r="D201">
        <v>775</v>
      </c>
      <c r="E201" t="s">
        <v>17</v>
      </c>
      <c r="F201" s="1">
        <f>DATE(2026,4,6)</f>
        <v>46118</v>
      </c>
      <c r="H201">
        <f>VLOOKUP($C201,Limits!$A$2:$B$6,2,FALSE)</f>
        <v>20000</v>
      </c>
      <c r="I201" t="str">
        <f>IF(D201&gt;H201,"OVER","OK")</f>
        <v>OK</v>
      </c>
      <c r="J201" t="str">
        <f>IF(G201="","OK",IF(G201&lt;F201,"BAD_DATE","OK"))</f>
        <v>OK</v>
      </c>
    </row>
    <row r="202">
      <c r="A202" t="s">
        <v>224</v>
      </c>
      <c r="B202" t="s">
        <v>37</v>
      </c>
      <c r="C202" t="s">
        <v>6</v>
      </c>
      <c r="D202">
        <v>14073</v>
      </c>
      <c r="E202" t="s">
        <v>22</v>
      </c>
      <c r="F202" s="1">
        <f>DATE(2026,4,1)</f>
        <v>46113</v>
      </c>
      <c r="G202" s="1">
        <f>DATE(2026,4,26)</f>
        <v>46138</v>
      </c>
      <c r="H202">
        <f>VLOOKUP($C202,Limits!$A$2:$B$6,2,FALSE)</f>
        <v>3000</v>
      </c>
      <c r="I202" t="str">
        <f>IF(D202&gt;H202,"OVER","OK")</f>
        <v>OVER</v>
      </c>
      <c r="J202" t="str">
        <f>IF(G202="","OK",IF(G202&lt;F202,"BAD_DATE","OK"))</f>
        <v>OK</v>
      </c>
    </row>
    <row r="203">
      <c r="A203" t="s">
        <v>225</v>
      </c>
      <c r="B203" t="s">
        <v>30</v>
      </c>
      <c r="C203" t="s">
        <v>5</v>
      </c>
      <c r="D203">
        <v>6472</v>
      </c>
      <c r="E203" t="s">
        <v>22</v>
      </c>
      <c r="F203" s="1">
        <f>DATE(2026,4,1)</f>
        <v>46113</v>
      </c>
      <c r="G203" s="1">
        <f>DATE(2026,4,12)</f>
        <v>46124</v>
      </c>
      <c r="H203">
        <f>VLOOKUP($C203,Limits!$A$2:$B$6,2,FALSE)</f>
        <v>15000</v>
      </c>
      <c r="I203" t="str">
        <f>IF(D203&gt;H203,"OVER","OK")</f>
        <v>OK</v>
      </c>
      <c r="J203" t="str">
        <f>IF(G203="","OK",IF(G203&lt;F203,"BAD_DATE","OK"))</f>
        <v>OK</v>
      </c>
    </row>
    <row r="204">
      <c r="A204" t="s">
        <v>226</v>
      </c>
      <c r="B204" t="s">
        <v>21</v>
      </c>
      <c r="C204" t="s">
        <v>2</v>
      </c>
      <c r="D204">
        <v>23151</v>
      </c>
      <c r="E204" t="s">
        <v>17</v>
      </c>
      <c r="F204" s="1">
        <f>DATE(2026,5,19)</f>
        <v>46161</v>
      </c>
      <c r="H204">
        <f>VLOOKUP($C204,Limits!$A$2:$B$6,2,FALSE)</f>
        <v>5000</v>
      </c>
      <c r="I204" t="str">
        <f>IF(D204&gt;H204,"OVER","OK")</f>
        <v>OVER</v>
      </c>
      <c r="J204" t="str">
        <f>IF(G204="","OK",IF(G204&lt;F204,"BAD_DATE","OK"))</f>
        <v>OK</v>
      </c>
    </row>
    <row r="205">
      <c r="A205" t="s">
        <v>227</v>
      </c>
      <c r="B205" t="s">
        <v>21</v>
      </c>
      <c r="C205" t="s">
        <v>2</v>
      </c>
      <c r="D205">
        <v>23625</v>
      </c>
      <c r="E205" t="s">
        <v>19</v>
      </c>
      <c r="F205" s="1">
        <f>DATE(2026,6,5)</f>
        <v>46178</v>
      </c>
      <c r="H205">
        <f>VLOOKUP($C205,Limits!$A$2:$B$6,2,FALSE)</f>
        <v>5000</v>
      </c>
      <c r="I205" t="str">
        <f>IF(D205&gt;H205,"OVER","OK")</f>
        <v>OVER</v>
      </c>
      <c r="J205" t="str">
        <f>IF(G205="","OK",IF(G205&lt;F205,"BAD_DATE","OK"))</f>
        <v>OK</v>
      </c>
    </row>
    <row r="206">
      <c r="A206" t="s">
        <v>228</v>
      </c>
      <c r="B206" t="s">
        <v>37</v>
      </c>
      <c r="C206" t="s">
        <v>4</v>
      </c>
      <c r="D206">
        <v>3743</v>
      </c>
      <c r="E206" t="s">
        <v>19</v>
      </c>
      <c r="F206" s="1">
        <f>DATE(2026,5,13)</f>
        <v>46155</v>
      </c>
      <c r="H206">
        <f>VLOOKUP($C206,Limits!$A$2:$B$6,2,FALSE)</f>
        <v>10000</v>
      </c>
      <c r="I206" t="str">
        <f>IF(D206&gt;H206,"OVER","OK")</f>
        <v>OK</v>
      </c>
      <c r="J206" t="str">
        <f>IF(G206="","OK",IF(G206&lt;F206,"BAD_DATE","OK"))</f>
        <v>OK</v>
      </c>
    </row>
    <row r="207">
      <c r="A207" t="s">
        <v>229</v>
      </c>
      <c r="B207" t="s">
        <v>37</v>
      </c>
      <c r="C207" t="s">
        <v>2</v>
      </c>
      <c r="D207">
        <v>886</v>
      </c>
      <c r="E207" t="s">
        <v>22</v>
      </c>
      <c r="F207" s="1">
        <f>DATE(2026,5,1)</f>
        <v>46143</v>
      </c>
      <c r="G207" s="1">
        <f>DATE(2026,5,25)</f>
        <v>46167</v>
      </c>
      <c r="H207">
        <f>VLOOKUP($C207,Limits!$A$2:$B$6,2,FALSE)</f>
        <v>5000</v>
      </c>
      <c r="I207" t="str">
        <f>IF(D207&gt;H207,"OVER","OK")</f>
        <v>OK</v>
      </c>
      <c r="J207" t="str">
        <f>IF(G207="","OK",IF(G207&lt;F207,"BAD_DATE","OK"))</f>
        <v>OK</v>
      </c>
    </row>
    <row r="208">
      <c r="A208" t="s">
        <v>230</v>
      </c>
      <c r="B208" t="s">
        <v>26</v>
      </c>
      <c r="C208" t="s">
        <v>5</v>
      </c>
      <c r="D208">
        <v>6090</v>
      </c>
      <c r="E208" t="s">
        <v>19</v>
      </c>
      <c r="F208" s="1">
        <f>DATE(2026,1,26)</f>
        <v>46048</v>
      </c>
      <c r="H208">
        <f>VLOOKUP($C208,Limits!$A$2:$B$6,2,FALSE)</f>
        <v>15000</v>
      </c>
      <c r="I208" t="str">
        <f>IF(D208&gt;H208,"OVER","OK")</f>
        <v>OK</v>
      </c>
      <c r="J208" t="str">
        <f>IF(G208="","OK",IF(G208&lt;F208,"BAD_DATE","OK"))</f>
        <v>OK</v>
      </c>
    </row>
    <row r="209">
      <c r="A209" t="s">
        <v>231</v>
      </c>
      <c r="B209" t="s">
        <v>37</v>
      </c>
      <c r="C209" t="s">
        <v>6</v>
      </c>
      <c r="D209">
        <v>15007</v>
      </c>
      <c r="E209" t="s">
        <v>22</v>
      </c>
      <c r="F209" s="1">
        <f>DATE(2026,4,24)</f>
        <v>46136</v>
      </c>
      <c r="G209" s="1">
        <f>DATE(2026,4,31)</f>
        <v>46143</v>
      </c>
      <c r="H209">
        <f>VLOOKUP($C209,Limits!$A$2:$B$6,2,FALSE)</f>
        <v>3000</v>
      </c>
      <c r="I209" t="str">
        <f>IF(D209&gt;H209,"OVER","OK")</f>
        <v>OVER</v>
      </c>
      <c r="J209" t="str">
        <f>IF(G209="","OK",IF(G209&lt;F209,"BAD_DATE","OK"))</f>
        <v>OK</v>
      </c>
    </row>
    <row r="210">
      <c r="A210" t="s">
        <v>232</v>
      </c>
      <c r="B210" t="s">
        <v>21</v>
      </c>
      <c r="C210" t="s">
        <v>5</v>
      </c>
      <c r="D210">
        <v>10283</v>
      </c>
      <c r="E210" t="s">
        <v>22</v>
      </c>
      <c r="F210" s="1">
        <f>DATE(2026,4,16)</f>
        <v>46128</v>
      </c>
      <c r="G210" s="1">
        <f>DATE(2026,4,29)</f>
        <v>46141</v>
      </c>
      <c r="H210">
        <f>VLOOKUP($C210,Limits!$A$2:$B$6,2,FALSE)</f>
        <v>15000</v>
      </c>
      <c r="I210" t="str">
        <f>IF(D210&gt;H210,"OVER","OK")</f>
        <v>OK</v>
      </c>
      <c r="J210" t="str">
        <f>IF(G210="","OK",IF(G210&lt;F210,"BAD_DATE","OK"))</f>
        <v>OK</v>
      </c>
    </row>
    <row r="211">
      <c r="A211" t="s">
        <v>233</v>
      </c>
      <c r="B211" t="s">
        <v>30</v>
      </c>
      <c r="C211" t="s">
        <v>3</v>
      </c>
      <c r="D211">
        <v>10562</v>
      </c>
      <c r="E211" t="s">
        <v>17</v>
      </c>
      <c r="F211" s="1">
        <f>DATE(2026,1,10)</f>
        <v>46032</v>
      </c>
      <c r="H211">
        <f>VLOOKUP($C211,Limits!$A$2:$B$6,2,FALSE)</f>
        <v>20000</v>
      </c>
      <c r="I211" t="str">
        <f>IF(D211&gt;H211,"OVER","OK")</f>
        <v>OK</v>
      </c>
      <c r="J211" t="str">
        <f>IF(G211="","OK",IF(G211&lt;F211,"BAD_DATE","OK"))</f>
        <v>OK</v>
      </c>
    </row>
    <row r="212">
      <c r="A212" t="s">
        <v>234</v>
      </c>
      <c r="B212" t="s">
        <v>26</v>
      </c>
      <c r="C212" t="s">
        <v>2</v>
      </c>
      <c r="D212">
        <v>24561</v>
      </c>
      <c r="E212" t="s">
        <v>17</v>
      </c>
      <c r="F212" s="1">
        <f>DATE(2026,5,15)</f>
        <v>46157</v>
      </c>
      <c r="H212">
        <f>VLOOKUP($C212,Limits!$A$2:$B$6,2,FALSE)</f>
        <v>5000</v>
      </c>
      <c r="I212" t="str">
        <f>IF(D212&gt;H212,"OVER","OK")</f>
        <v>OVER</v>
      </c>
      <c r="J212" t="str">
        <f>IF(G212="","OK",IF(G212&lt;F212,"BAD_DATE","OK"))</f>
        <v>OK</v>
      </c>
    </row>
    <row r="213">
      <c r="A213" t="s">
        <v>235</v>
      </c>
      <c r="B213" t="s">
        <v>37</v>
      </c>
      <c r="C213" t="s">
        <v>3</v>
      </c>
      <c r="D213">
        <v>6008</v>
      </c>
      <c r="E213" t="s">
        <v>17</v>
      </c>
      <c r="F213" s="1">
        <f>DATE(2026,4,17)</f>
        <v>46129</v>
      </c>
      <c r="H213">
        <f>VLOOKUP($C213,Limits!$A$2:$B$6,2,FALSE)</f>
        <v>20000</v>
      </c>
      <c r="I213" t="str">
        <f>IF(D213&gt;H213,"OVER","OK")</f>
        <v>OK</v>
      </c>
      <c r="J213" t="str">
        <f>IF(G213="","OK",IF(G213&lt;F213,"BAD_DATE","OK"))</f>
        <v>OK</v>
      </c>
    </row>
    <row r="214">
      <c r="A214" t="s">
        <v>236</v>
      </c>
      <c r="B214" t="s">
        <v>30</v>
      </c>
      <c r="C214" t="s">
        <v>5</v>
      </c>
      <c r="D214">
        <v>4859</v>
      </c>
      <c r="E214" t="s">
        <v>19</v>
      </c>
      <c r="F214" s="1">
        <f>DATE(2026,1,25)</f>
        <v>46047</v>
      </c>
      <c r="H214">
        <f>VLOOKUP($C214,Limits!$A$2:$B$6,2,FALSE)</f>
        <v>15000</v>
      </c>
      <c r="I214" t="str">
        <f>IF(D214&gt;H214,"OVER","OK")</f>
        <v>OK</v>
      </c>
      <c r="J214" t="str">
        <f>IF(G214="","OK",IF(G214&lt;F214,"BAD_DATE","OK"))</f>
        <v>OK</v>
      </c>
    </row>
    <row r="215">
      <c r="A215" t="s">
        <v>237</v>
      </c>
      <c r="B215" t="s">
        <v>21</v>
      </c>
      <c r="C215" t="s">
        <v>4</v>
      </c>
      <c r="D215">
        <v>3980</v>
      </c>
      <c r="E215" t="s">
        <v>19</v>
      </c>
      <c r="F215" s="1">
        <f>DATE(2026,6,10)</f>
        <v>46183</v>
      </c>
      <c r="H215">
        <f>VLOOKUP($C215,Limits!$A$2:$B$6,2,FALSE)</f>
        <v>10000</v>
      </c>
      <c r="I215" t="str">
        <f>IF(D215&gt;H215,"OVER","OK")</f>
        <v>OK</v>
      </c>
      <c r="J215" t="str">
        <f>IF(G215="","OK",IF(G215&lt;F215,"BAD_DATE","OK"))</f>
        <v>OK</v>
      </c>
    </row>
    <row r="216">
      <c r="A216" t="s">
        <v>238</v>
      </c>
      <c r="B216" t="s">
        <v>21</v>
      </c>
      <c r="C216" t="s">
        <v>5</v>
      </c>
      <c r="D216">
        <v>1172</v>
      </c>
      <c r="E216" t="s">
        <v>22</v>
      </c>
      <c r="F216" s="1">
        <f>DATE(2026,6,26)</f>
        <v>46199</v>
      </c>
      <c r="G216" s="1">
        <f>DATE(2026,6,47)</f>
        <v>46220</v>
      </c>
      <c r="H216">
        <f>VLOOKUP($C216,Limits!$A$2:$B$6,2,FALSE)</f>
        <v>15000</v>
      </c>
      <c r="I216" t="str">
        <f>IF(D216&gt;H216,"OVER","OK")</f>
        <v>OK</v>
      </c>
      <c r="J216" t="str">
        <f>IF(G216="","OK",IF(G216&lt;F216,"BAD_DATE","OK"))</f>
        <v>OK</v>
      </c>
    </row>
    <row r="217">
      <c r="A217" t="s">
        <v>239</v>
      </c>
      <c r="B217" t="s">
        <v>37</v>
      </c>
      <c r="C217" t="s">
        <v>2</v>
      </c>
      <c r="D217">
        <v>15938</v>
      </c>
      <c r="E217" t="s">
        <v>19</v>
      </c>
      <c r="F217" s="1">
        <f>DATE(2026,3,22)</f>
        <v>46103</v>
      </c>
      <c r="H217">
        <f>VLOOKUP($C217,Limits!$A$2:$B$6,2,FALSE)</f>
        <v>5000</v>
      </c>
      <c r="I217" t="str">
        <f>IF(D217&gt;H217,"OVER","OK")</f>
        <v>OVER</v>
      </c>
      <c r="J217" t="str">
        <f>IF(G217="","OK",IF(G217&lt;F217,"BAD_DATE","OK"))</f>
        <v>OK</v>
      </c>
    </row>
    <row r="218">
      <c r="A218" t="s">
        <v>240</v>
      </c>
      <c r="B218" t="s">
        <v>30</v>
      </c>
      <c r="C218" t="s">
        <v>3</v>
      </c>
      <c r="D218">
        <v>4152</v>
      </c>
      <c r="E218" t="s">
        <v>17</v>
      </c>
      <c r="F218" s="1">
        <f>DATE(2026,1,10)</f>
        <v>46032</v>
      </c>
      <c r="H218">
        <f>VLOOKUP($C218,Limits!$A$2:$B$6,2,FALSE)</f>
        <v>20000</v>
      </c>
      <c r="I218" t="str">
        <f>IF(D218&gt;H218,"OVER","OK")</f>
        <v>OK</v>
      </c>
      <c r="J218" t="str">
        <f>IF(G218="","OK",IF(G218&lt;F218,"BAD_DATE","OK"))</f>
        <v>OK</v>
      </c>
    </row>
    <row r="219">
      <c r="A219" t="s">
        <v>241</v>
      </c>
      <c r="B219" t="s">
        <v>16</v>
      </c>
      <c r="C219" t="s">
        <v>3</v>
      </c>
      <c r="D219">
        <v>1856</v>
      </c>
      <c r="E219" t="s">
        <v>22</v>
      </c>
      <c r="F219" s="1">
        <f>DATE(2026,1,13)</f>
        <v>46035</v>
      </c>
      <c r="G219" s="1">
        <f>DATE(2026,1,25)</f>
        <v>46047</v>
      </c>
      <c r="H219">
        <f>VLOOKUP($C219,Limits!$A$2:$B$6,2,FALSE)</f>
        <v>20000</v>
      </c>
      <c r="I219" t="str">
        <f>IF(D219&gt;H219,"OVER","OK")</f>
        <v>OK</v>
      </c>
      <c r="J219" t="str">
        <f>IF(G219="","OK",IF(G219&lt;F219,"BAD_DATE","OK"))</f>
        <v>OK</v>
      </c>
    </row>
    <row r="220">
      <c r="A220" t="s">
        <v>242</v>
      </c>
      <c r="B220" t="s">
        <v>16</v>
      </c>
      <c r="C220" t="s">
        <v>3</v>
      </c>
      <c r="D220">
        <v>20935</v>
      </c>
      <c r="E220" t="s">
        <v>27</v>
      </c>
      <c r="F220" s="1">
        <f>DATE(2026,3,16)</f>
        <v>46097</v>
      </c>
      <c r="G220" s="1">
        <f>DATE(2026,3,45)</f>
        <v>46126</v>
      </c>
      <c r="H220">
        <f>VLOOKUP($C220,Limits!$A$2:$B$6,2,FALSE)</f>
        <v>20000</v>
      </c>
      <c r="I220" t="str">
        <f>IF(D220&gt;H220,"OVER","OK")</f>
        <v>OVER</v>
      </c>
      <c r="J220" t="str">
        <f>IF(G220="","OK",IF(G220&lt;F220,"BAD_DATE","OK"))</f>
        <v>OK</v>
      </c>
    </row>
    <row r="221">
      <c r="A221" t="s">
        <v>243</v>
      </c>
      <c r="B221" t="s">
        <v>30</v>
      </c>
      <c r="C221" t="s">
        <v>5</v>
      </c>
      <c r="D221">
        <v>13909</v>
      </c>
      <c r="E221" t="s">
        <v>27</v>
      </c>
      <c r="F221" s="1">
        <f>DATE(2026,4,15)</f>
        <v>46127</v>
      </c>
      <c r="G221" s="1">
        <f>DATE(2026,4,35)</f>
        <v>46147</v>
      </c>
      <c r="H221">
        <f>VLOOKUP($C221,Limits!$A$2:$B$6,2,FALSE)</f>
        <v>15000</v>
      </c>
      <c r="I221" t="str">
        <f>IF(D221&gt;H221,"OVER","OK")</f>
        <v>OK</v>
      </c>
      <c r="J221" t="str">
        <f>IF(G221="","OK",IF(G221&lt;F221,"BAD_DATE","OK"))</f>
        <v>OK</v>
      </c>
    </row>
    <row r="222">
      <c r="A222" t="s">
        <v>244</v>
      </c>
      <c r="B222" t="s">
        <v>16</v>
      </c>
      <c r="C222" t="s">
        <v>6</v>
      </c>
      <c r="D222">
        <v>20720</v>
      </c>
      <c r="E222" t="s">
        <v>22</v>
      </c>
      <c r="F222" s="1">
        <f>DATE(2026,2,25)</f>
        <v>46078</v>
      </c>
      <c r="G222" s="1">
        <f>DATE(2026,2,54)</f>
        <v>46107</v>
      </c>
      <c r="H222">
        <f>VLOOKUP($C222,Limits!$A$2:$B$6,2,FALSE)</f>
        <v>3000</v>
      </c>
      <c r="I222" t="str">
        <f>IF(D222&gt;H222,"OVER","OK")</f>
        <v>OVER</v>
      </c>
      <c r="J222" t="str">
        <f>IF(G222="","OK",IF(G222&lt;F222,"BAD_DATE","OK"))</f>
        <v>OK</v>
      </c>
    </row>
    <row r="223">
      <c r="A223" t="s">
        <v>245</v>
      </c>
      <c r="B223" t="s">
        <v>21</v>
      </c>
      <c r="C223" t="s">
        <v>4</v>
      </c>
      <c r="D223">
        <v>1452</v>
      </c>
      <c r="E223" t="s">
        <v>22</v>
      </c>
      <c r="F223" s="1">
        <f>DATE(2026,4,6)</f>
        <v>46118</v>
      </c>
      <c r="G223" s="1">
        <f>DATE(2026,4,14)</f>
        <v>46126</v>
      </c>
      <c r="H223">
        <f>VLOOKUP($C223,Limits!$A$2:$B$6,2,FALSE)</f>
        <v>10000</v>
      </c>
      <c r="I223" t="str">
        <f>IF(D223&gt;H223,"OVER","OK")</f>
        <v>OK</v>
      </c>
      <c r="J223" t="str">
        <f>IF(G223="","OK",IF(G223&lt;F223,"BAD_DATE","OK"))</f>
        <v>OK</v>
      </c>
    </row>
    <row r="224">
      <c r="A224" t="s">
        <v>246</v>
      </c>
      <c r="B224" t="s">
        <v>37</v>
      </c>
      <c r="C224" t="s">
        <v>4</v>
      </c>
      <c r="D224">
        <v>10209</v>
      </c>
      <c r="E224" t="s">
        <v>19</v>
      </c>
      <c r="F224" s="1">
        <f>DATE(2026,5,25)</f>
        <v>46167</v>
      </c>
      <c r="H224">
        <f>VLOOKUP($C224,Limits!$A$2:$B$6,2,FALSE)</f>
        <v>10000</v>
      </c>
      <c r="I224" t="str">
        <f>IF(D224&gt;H224,"OVER","OK")</f>
        <v>OVER</v>
      </c>
      <c r="J224" t="str">
        <f>IF(G224="","OK",IF(G224&lt;F224,"BAD_DATE","OK"))</f>
        <v>OK</v>
      </c>
    </row>
    <row r="225">
      <c r="A225" t="s">
        <v>247</v>
      </c>
      <c r="B225" t="s">
        <v>37</v>
      </c>
      <c r="C225" t="s">
        <v>6</v>
      </c>
      <c r="D225">
        <v>23266</v>
      </c>
      <c r="E225" t="s">
        <v>22</v>
      </c>
      <c r="F225" s="1">
        <f>DATE(2026,3,22)</f>
        <v>46103</v>
      </c>
      <c r="G225" s="1">
        <f>DATE(2026,3,52)</f>
        <v>46133</v>
      </c>
      <c r="H225">
        <f>VLOOKUP($C225,Limits!$A$2:$B$6,2,FALSE)</f>
        <v>3000</v>
      </c>
      <c r="I225" t="str">
        <f>IF(D225&gt;H225,"OVER","OK")</f>
        <v>OVER</v>
      </c>
      <c r="J225" t="str">
        <f>IF(G225="","OK",IF(G225&lt;F225,"BAD_DATE","OK"))</f>
        <v>OK</v>
      </c>
    </row>
    <row r="226">
      <c r="A226" t="s">
        <v>248</v>
      </c>
      <c r="B226" t="s">
        <v>37</v>
      </c>
      <c r="C226" t="s">
        <v>5</v>
      </c>
      <c r="D226">
        <v>12430</v>
      </c>
      <c r="E226" t="s">
        <v>27</v>
      </c>
      <c r="F226" s="1">
        <f>DATE(2026,2,17)</f>
        <v>46070</v>
      </c>
      <c r="G226" s="1">
        <f>DATE(2026,2,36)</f>
        <v>46089</v>
      </c>
      <c r="H226">
        <f>VLOOKUP($C226,Limits!$A$2:$B$6,2,FALSE)</f>
        <v>15000</v>
      </c>
      <c r="I226" t="str">
        <f>IF(D226&gt;H226,"OVER","OK")</f>
        <v>OK</v>
      </c>
      <c r="J226" t="str">
        <f>IF(G226="","OK",IF(G226&lt;F226,"BAD_DATE","OK"))</f>
        <v>OK</v>
      </c>
    </row>
    <row r="227">
      <c r="A227" t="s">
        <v>249</v>
      </c>
      <c r="B227" t="s">
        <v>37</v>
      </c>
      <c r="C227" t="s">
        <v>4</v>
      </c>
      <c r="D227">
        <v>18741</v>
      </c>
      <c r="E227" t="s">
        <v>17</v>
      </c>
      <c r="F227" s="1">
        <f>DATE(2026,6,19)</f>
        <v>46192</v>
      </c>
      <c r="H227">
        <f>VLOOKUP($C227,Limits!$A$2:$B$6,2,FALSE)</f>
        <v>10000</v>
      </c>
      <c r="I227" t="str">
        <f>IF(D227&gt;H227,"OVER","OK")</f>
        <v>OVER</v>
      </c>
      <c r="J227" t="str">
        <f>IF(G227="","OK",IF(G227&lt;F227,"BAD_DATE","OK"))</f>
        <v>OK</v>
      </c>
    </row>
    <row r="228">
      <c r="A228" t="s">
        <v>250</v>
      </c>
      <c r="B228" t="s">
        <v>37</v>
      </c>
      <c r="C228" t="s">
        <v>5</v>
      </c>
      <c r="D228">
        <v>14920</v>
      </c>
      <c r="E228" t="s">
        <v>22</v>
      </c>
      <c r="F228" s="1">
        <f>DATE(2026,3,2)</f>
        <v>46083</v>
      </c>
      <c r="G228" s="1">
        <f>DATE(2026,3,32)</f>
        <v>46113</v>
      </c>
      <c r="H228">
        <f>VLOOKUP($C228,Limits!$A$2:$B$6,2,FALSE)</f>
        <v>15000</v>
      </c>
      <c r="I228" t="str">
        <f>IF(D228&gt;H228,"OVER","OK")</f>
        <v>OK</v>
      </c>
      <c r="J228" t="str">
        <f>IF(G228="","OK",IF(G228&lt;F228,"BAD_DATE","OK"))</f>
        <v>OK</v>
      </c>
    </row>
    <row r="229">
      <c r="A229" t="s">
        <v>251</v>
      </c>
      <c r="B229" t="s">
        <v>26</v>
      </c>
      <c r="C229" t="s">
        <v>3</v>
      </c>
      <c r="D229">
        <v>9026</v>
      </c>
      <c r="E229" t="s">
        <v>19</v>
      </c>
      <c r="F229" s="1">
        <f>DATE(2026,1,27)</f>
        <v>46049</v>
      </c>
      <c r="H229">
        <f>VLOOKUP($C229,Limits!$A$2:$B$6,2,FALSE)</f>
        <v>20000</v>
      </c>
      <c r="I229" t="str">
        <f>IF(D229&gt;H229,"OVER","OK")</f>
        <v>OK</v>
      </c>
      <c r="J229" t="str">
        <f>IF(G229="","OK",IF(G229&lt;F229,"BAD_DATE","OK"))</f>
        <v>OK</v>
      </c>
    </row>
    <row r="230">
      <c r="A230" t="s">
        <v>252</v>
      </c>
      <c r="B230" t="s">
        <v>30</v>
      </c>
      <c r="C230" t="s">
        <v>5</v>
      </c>
      <c r="D230">
        <v>6120</v>
      </c>
      <c r="E230" t="s">
        <v>27</v>
      </c>
      <c r="F230" s="1">
        <f>DATE(2026,2,18)</f>
        <v>46071</v>
      </c>
      <c r="G230" s="1">
        <f>DATE(2026,2,30)</f>
        <v>46083</v>
      </c>
      <c r="H230">
        <f>VLOOKUP($C230,Limits!$A$2:$B$6,2,FALSE)</f>
        <v>15000</v>
      </c>
      <c r="I230" t="str">
        <f>IF(D230&gt;H230,"OVER","OK")</f>
        <v>OK</v>
      </c>
      <c r="J230" t="str">
        <f>IF(G230="","OK",IF(G230&lt;F230,"BAD_DATE","OK"))</f>
        <v>OK</v>
      </c>
    </row>
    <row r="231">
      <c r="A231" t="s">
        <v>253</v>
      </c>
      <c r="B231" t="s">
        <v>26</v>
      </c>
      <c r="C231" t="s">
        <v>2</v>
      </c>
      <c r="D231">
        <v>3488</v>
      </c>
      <c r="E231" t="s">
        <v>19</v>
      </c>
      <c r="F231" s="1">
        <f>DATE(2026,6,22)</f>
        <v>46195</v>
      </c>
      <c r="H231">
        <f>VLOOKUP($C231,Limits!$A$2:$B$6,2,FALSE)</f>
        <v>5000</v>
      </c>
      <c r="I231" t="str">
        <f>IF(D231&gt;H231,"OVER","OK")</f>
        <v>OK</v>
      </c>
      <c r="J231" t="str">
        <f>IF(G231="","OK",IF(G231&lt;F231,"BAD_DATE","OK"))</f>
        <v>OK</v>
      </c>
    </row>
    <row r="232">
      <c r="A232" t="s">
        <v>254</v>
      </c>
      <c r="B232" t="s">
        <v>30</v>
      </c>
      <c r="C232" t="s">
        <v>4</v>
      </c>
      <c r="D232">
        <v>13392</v>
      </c>
      <c r="E232" t="s">
        <v>17</v>
      </c>
      <c r="F232" s="1">
        <f>DATE(2026,6,3)</f>
        <v>46176</v>
      </c>
      <c r="H232">
        <f>VLOOKUP($C232,Limits!$A$2:$B$6,2,FALSE)</f>
        <v>10000</v>
      </c>
      <c r="I232" t="str">
        <f>IF(D232&gt;H232,"OVER","OK")</f>
        <v>OVER</v>
      </c>
      <c r="J232" t="str">
        <f>IF(G232="","OK",IF(G232&lt;F232,"BAD_DATE","OK"))</f>
        <v>OK</v>
      </c>
    </row>
    <row r="233">
      <c r="A233" t="s">
        <v>255</v>
      </c>
      <c r="B233" t="s">
        <v>30</v>
      </c>
      <c r="C233" t="s">
        <v>4</v>
      </c>
      <c r="D233">
        <v>14409</v>
      </c>
      <c r="E233" t="s">
        <v>19</v>
      </c>
      <c r="F233" s="1">
        <f>DATE(2026,6,11)</f>
        <v>46184</v>
      </c>
      <c r="H233">
        <f>VLOOKUP($C233,Limits!$A$2:$B$6,2,FALSE)</f>
        <v>10000</v>
      </c>
      <c r="I233" t="str">
        <f>IF(D233&gt;H233,"OVER","OK")</f>
        <v>OVER</v>
      </c>
      <c r="J233" t="str">
        <f>IF(G233="","OK",IF(G233&lt;F233,"BAD_DATE","OK"))</f>
        <v>OK</v>
      </c>
    </row>
    <row r="234">
      <c r="A234" t="s">
        <v>256</v>
      </c>
      <c r="B234" t="s">
        <v>26</v>
      </c>
      <c r="C234" t="s">
        <v>3</v>
      </c>
      <c r="D234">
        <v>3267</v>
      </c>
      <c r="E234" t="s">
        <v>22</v>
      </c>
      <c r="F234" s="1">
        <f>DATE(2026,3,3)</f>
        <v>46084</v>
      </c>
      <c r="G234" s="1">
        <f>DATE(2026,3,22)</f>
        <v>46103</v>
      </c>
      <c r="H234">
        <f>VLOOKUP($C234,Limits!$A$2:$B$6,2,FALSE)</f>
        <v>20000</v>
      </c>
      <c r="I234" t="str">
        <f>IF(D234&gt;H234,"OVER","OK")</f>
        <v>OK</v>
      </c>
      <c r="J234" t="str">
        <f>IF(G234="","OK",IF(G234&lt;F234,"BAD_DATE","OK"))</f>
        <v>OK</v>
      </c>
    </row>
    <row r="235">
      <c r="A235" t="s">
        <v>257</v>
      </c>
      <c r="B235" t="s">
        <v>21</v>
      </c>
      <c r="C235" t="s">
        <v>6</v>
      </c>
      <c r="D235">
        <v>2369</v>
      </c>
      <c r="E235" t="s">
        <v>22</v>
      </c>
      <c r="F235" s="1">
        <f>DATE(2026,3,28)</f>
        <v>46109</v>
      </c>
      <c r="G235" s="1">
        <f>DATE(2026,3,35)</f>
        <v>46116</v>
      </c>
      <c r="H235">
        <f>VLOOKUP($C235,Limits!$A$2:$B$6,2,FALSE)</f>
        <v>3000</v>
      </c>
      <c r="I235" t="str">
        <f>IF(D235&gt;H235,"OVER","OK")</f>
        <v>OK</v>
      </c>
      <c r="J235" t="str">
        <f>IF(G235="","OK",IF(G235&lt;F235,"BAD_DATE","OK"))</f>
        <v>OK</v>
      </c>
    </row>
    <row r="236">
      <c r="A236" t="s">
        <v>258</v>
      </c>
      <c r="B236" t="s">
        <v>21</v>
      </c>
      <c r="C236" t="s">
        <v>5</v>
      </c>
      <c r="D236">
        <v>8705</v>
      </c>
      <c r="E236" t="s">
        <v>22</v>
      </c>
      <c r="F236" s="1">
        <f>DATE(2026,5,15)</f>
        <v>46157</v>
      </c>
      <c r="G236" s="1">
        <f>DATE(2026,5,18)</f>
        <v>46160</v>
      </c>
      <c r="H236">
        <f>VLOOKUP($C236,Limits!$A$2:$B$6,2,FALSE)</f>
        <v>15000</v>
      </c>
      <c r="I236" t="str">
        <f>IF(D236&gt;H236,"OVER","OK")</f>
        <v>OK</v>
      </c>
      <c r="J236" t="str">
        <f>IF(G236="","OK",IF(G236&lt;F236,"BAD_DATE","OK"))</f>
        <v>OK</v>
      </c>
    </row>
    <row r="237">
      <c r="A237" t="s">
        <v>259</v>
      </c>
      <c r="B237" t="s">
        <v>30</v>
      </c>
      <c r="C237" t="s">
        <v>3</v>
      </c>
      <c r="D237">
        <v>21730</v>
      </c>
      <c r="E237" t="s">
        <v>17</v>
      </c>
      <c r="F237" s="1">
        <f>DATE(2026,5,18)</f>
        <v>46160</v>
      </c>
      <c r="H237">
        <f>VLOOKUP($C237,Limits!$A$2:$B$6,2,FALSE)</f>
        <v>20000</v>
      </c>
      <c r="I237" t="str">
        <f>IF(D237&gt;H237,"OVER","OK")</f>
        <v>OVER</v>
      </c>
      <c r="J237" t="str">
        <f>IF(G237="","OK",IF(G237&lt;F237,"BAD_DATE","OK"))</f>
        <v>OK</v>
      </c>
    </row>
    <row r="238">
      <c r="A238" t="s">
        <v>260</v>
      </c>
      <c r="B238" t="s">
        <v>37</v>
      </c>
      <c r="C238" t="s">
        <v>5</v>
      </c>
      <c r="D238">
        <v>15738</v>
      </c>
      <c r="E238" t="s">
        <v>17</v>
      </c>
      <c r="F238" s="1">
        <f>DATE(2026,5,16)</f>
        <v>46158</v>
      </c>
      <c r="H238">
        <f>VLOOKUP($C238,Limits!$A$2:$B$6,2,FALSE)</f>
        <v>15000</v>
      </c>
      <c r="I238" t="str">
        <f>IF(D238&gt;H238,"OVER","OK")</f>
        <v>OVER</v>
      </c>
      <c r="J238" t="str">
        <f>IF(G238="","OK",IF(G238&lt;F238,"BAD_DATE","OK"))</f>
        <v>OK</v>
      </c>
    </row>
    <row r="239">
      <c r="A239" t="s">
        <v>261</v>
      </c>
      <c r="B239" t="s">
        <v>30</v>
      </c>
      <c r="C239" t="s">
        <v>5</v>
      </c>
      <c r="D239">
        <v>11500</v>
      </c>
      <c r="E239" t="s">
        <v>27</v>
      </c>
      <c r="F239" s="1">
        <f>DATE(2026,4,2)</f>
        <v>46114</v>
      </c>
      <c r="G239" s="1">
        <f>DATE(2026,4,10)</f>
        <v>46122</v>
      </c>
      <c r="H239">
        <f>VLOOKUP($C239,Limits!$A$2:$B$6,2,FALSE)</f>
        <v>15000</v>
      </c>
      <c r="I239" t="str">
        <f>IF(D239&gt;H239,"OVER","OK")</f>
        <v>OK</v>
      </c>
      <c r="J239" t="str">
        <f>IF(G239="","OK",IF(G239&lt;F239,"BAD_DATE","OK"))</f>
        <v>OK</v>
      </c>
    </row>
    <row r="240">
      <c r="A240" t="s">
        <v>262</v>
      </c>
      <c r="B240" t="s">
        <v>16</v>
      </c>
      <c r="C240" t="s">
        <v>2</v>
      </c>
      <c r="D240">
        <v>23114</v>
      </c>
      <c r="E240" t="s">
        <v>22</v>
      </c>
      <c r="F240" s="1">
        <f>DATE(2026,5,21)</f>
        <v>46163</v>
      </c>
      <c r="G240" s="1">
        <f>DATE(2026,5,48)</f>
        <v>46190</v>
      </c>
      <c r="H240">
        <f>VLOOKUP($C240,Limits!$A$2:$B$6,2,FALSE)</f>
        <v>5000</v>
      </c>
      <c r="I240" t="str">
        <f>IF(D240&gt;H240,"OVER","OK")</f>
        <v>OVER</v>
      </c>
      <c r="J240" t="str">
        <f>IF(G240="","OK",IF(G240&lt;F240,"BAD_DATE","OK"))</f>
        <v>OK</v>
      </c>
    </row>
    <row r="241">
      <c r="A241" t="s">
        <v>263</v>
      </c>
      <c r="B241" t="s">
        <v>21</v>
      </c>
      <c r="C241" t="s">
        <v>5</v>
      </c>
      <c r="D241">
        <v>20525</v>
      </c>
      <c r="E241" t="s">
        <v>17</v>
      </c>
      <c r="F241" s="1">
        <f>DATE(2026,4,6)</f>
        <v>46118</v>
      </c>
      <c r="H241">
        <f>VLOOKUP($C241,Limits!$A$2:$B$6,2,FALSE)</f>
        <v>15000</v>
      </c>
      <c r="I241" t="str">
        <f>IF(D241&gt;H241,"OVER","OK")</f>
        <v>OVER</v>
      </c>
      <c r="J241" t="str">
        <f>IF(G241="","OK",IF(G241&lt;F241,"BAD_DATE","OK"))</f>
        <v>OK</v>
      </c>
    </row>
    <row r="242">
      <c r="A242" t="s">
        <v>264</v>
      </c>
      <c r="B242" t="s">
        <v>16</v>
      </c>
      <c r="C242" t="s">
        <v>5</v>
      </c>
      <c r="D242">
        <v>23722</v>
      </c>
      <c r="E242" t="s">
        <v>27</v>
      </c>
      <c r="F242" s="1">
        <f>DATE(2026,2,1)</f>
        <v>46054</v>
      </c>
      <c r="G242" s="1">
        <f>DATE(2026,2,10)</f>
        <v>46063</v>
      </c>
      <c r="H242">
        <f>VLOOKUP($C242,Limits!$A$2:$B$6,2,FALSE)</f>
        <v>15000</v>
      </c>
      <c r="I242" t="str">
        <f>IF(D242&gt;H242,"OVER","OK")</f>
        <v>OVER</v>
      </c>
      <c r="J242" t="str">
        <f>IF(G242="","OK",IF(G242&lt;F242,"BAD_DATE","OK"))</f>
        <v>OK</v>
      </c>
    </row>
    <row r="243">
      <c r="A243" t="s">
        <v>265</v>
      </c>
      <c r="B243" t="s">
        <v>21</v>
      </c>
      <c r="C243" t="s">
        <v>4</v>
      </c>
      <c r="D243">
        <v>165</v>
      </c>
      <c r="E243" t="s">
        <v>17</v>
      </c>
      <c r="F243" s="1">
        <f>DATE(2026,6,27)</f>
        <v>46200</v>
      </c>
      <c r="H243">
        <f>VLOOKUP($C243,Limits!$A$2:$B$6,2,FALSE)</f>
        <v>10000</v>
      </c>
      <c r="I243" t="str">
        <f>IF(D243&gt;H243,"OVER","OK")</f>
        <v>OK</v>
      </c>
      <c r="J243" t="str">
        <f>IF(G243="","OK",IF(G243&lt;F243,"BAD_DATE","OK"))</f>
        <v>OK</v>
      </c>
    </row>
    <row r="244">
      <c r="A244" t="s">
        <v>266</v>
      </c>
      <c r="B244" t="s">
        <v>21</v>
      </c>
      <c r="C244" t="s">
        <v>4</v>
      </c>
      <c r="D244">
        <v>22999</v>
      </c>
      <c r="E244" t="s">
        <v>17</v>
      </c>
      <c r="F244" s="1">
        <f>DATE(2026,4,10)</f>
        <v>46122</v>
      </c>
      <c r="H244">
        <f>VLOOKUP($C244,Limits!$A$2:$B$6,2,FALSE)</f>
        <v>10000</v>
      </c>
      <c r="I244" t="str">
        <f>IF(D244&gt;H244,"OVER","OK")</f>
        <v>OVER</v>
      </c>
      <c r="J244" t="str">
        <f>IF(G244="","OK",IF(G244&lt;F244,"BAD_DATE","OK"))</f>
        <v>OK</v>
      </c>
    </row>
    <row r="245">
      <c r="A245" t="s">
        <v>267</v>
      </c>
      <c r="B245" t="s">
        <v>30</v>
      </c>
      <c r="C245" t="s">
        <v>5</v>
      </c>
      <c r="D245">
        <v>6566</v>
      </c>
      <c r="E245" t="s">
        <v>19</v>
      </c>
      <c r="F245" s="1">
        <f>DATE(2026,1,10)</f>
        <v>46032</v>
      </c>
      <c r="H245">
        <f>VLOOKUP($C245,Limits!$A$2:$B$6,2,FALSE)</f>
        <v>15000</v>
      </c>
      <c r="I245" t="str">
        <f>IF(D245&gt;H245,"OVER","OK")</f>
        <v>OK</v>
      </c>
      <c r="J245" t="str">
        <f>IF(G245="","OK",IF(G245&lt;F245,"BAD_DATE","OK"))</f>
        <v>OK</v>
      </c>
    </row>
    <row r="246">
      <c r="A246" t="s">
        <v>268</v>
      </c>
      <c r="B246" t="s">
        <v>26</v>
      </c>
      <c r="C246" t="s">
        <v>4</v>
      </c>
      <c r="D246">
        <v>6058</v>
      </c>
      <c r="E246" t="s">
        <v>22</v>
      </c>
      <c r="F246" s="1">
        <f>DATE(2026,5,15)</f>
        <v>46157</v>
      </c>
      <c r="G246" s="1">
        <f>DATE(2026,5,27)</f>
        <v>46169</v>
      </c>
      <c r="H246">
        <f>VLOOKUP($C246,Limits!$A$2:$B$6,2,FALSE)</f>
        <v>10000</v>
      </c>
      <c r="I246" t="str">
        <f>IF(D246&gt;H246,"OVER","OK")</f>
        <v>OK</v>
      </c>
      <c r="J246" t="str">
        <f>IF(G246="","OK",IF(G246&lt;F246,"BAD_DATE","OK"))</f>
        <v>OK</v>
      </c>
    </row>
    <row r="247">
      <c r="A247" t="s">
        <v>269</v>
      </c>
      <c r="B247" t="s">
        <v>21</v>
      </c>
      <c r="C247" t="s">
        <v>4</v>
      </c>
      <c r="D247">
        <v>1991</v>
      </c>
      <c r="E247" t="s">
        <v>19</v>
      </c>
      <c r="F247" s="1">
        <f>DATE(2026,1,15)</f>
        <v>46037</v>
      </c>
      <c r="H247">
        <f>VLOOKUP($C247,Limits!$A$2:$B$6,2,FALSE)</f>
        <v>10000</v>
      </c>
      <c r="I247" t="str">
        <f>IF(D247&gt;H247,"OVER","OK")</f>
        <v>OK</v>
      </c>
      <c r="J247" t="str">
        <f>IF(G247="","OK",IF(G247&lt;F247,"BAD_DATE","OK"))</f>
        <v>OK</v>
      </c>
    </row>
    <row r="248">
      <c r="A248" t="s">
        <v>270</v>
      </c>
      <c r="B248" t="s">
        <v>30</v>
      </c>
      <c r="C248" t="s">
        <v>2</v>
      </c>
      <c r="D248">
        <v>16338</v>
      </c>
      <c r="E248" t="s">
        <v>17</v>
      </c>
      <c r="F248" s="1">
        <f>DATE(2026,1,20)</f>
        <v>46042</v>
      </c>
      <c r="H248">
        <f>VLOOKUP($C248,Limits!$A$2:$B$6,2,FALSE)</f>
        <v>5000</v>
      </c>
      <c r="I248" t="str">
        <f>IF(D248&gt;H248,"OVER","OK")</f>
        <v>OVER</v>
      </c>
      <c r="J248" t="str">
        <f>IF(G248="","OK",IF(G248&lt;F248,"BAD_DATE","OK"))</f>
        <v>OK</v>
      </c>
    </row>
    <row r="249">
      <c r="A249" t="s">
        <v>271</v>
      </c>
      <c r="B249" t="s">
        <v>30</v>
      </c>
      <c r="C249" t="s">
        <v>4</v>
      </c>
      <c r="D249">
        <v>12753</v>
      </c>
      <c r="E249" t="s">
        <v>19</v>
      </c>
      <c r="F249" s="1">
        <f>DATE(2026,5,12)</f>
        <v>46154</v>
      </c>
      <c r="H249">
        <f>VLOOKUP($C249,Limits!$A$2:$B$6,2,FALSE)</f>
        <v>10000</v>
      </c>
      <c r="I249" t="str">
        <f>IF(D249&gt;H249,"OVER","OK")</f>
        <v>OVER</v>
      </c>
      <c r="J249" t="str">
        <f>IF(G249="","OK",IF(G249&lt;F249,"BAD_DATE","OK"))</f>
        <v>OK</v>
      </c>
    </row>
    <row r="250">
      <c r="A250" t="s">
        <v>272</v>
      </c>
      <c r="B250" t="s">
        <v>21</v>
      </c>
      <c r="C250" t="s">
        <v>2</v>
      </c>
      <c r="D250">
        <v>6154</v>
      </c>
      <c r="E250" t="s">
        <v>17</v>
      </c>
      <c r="F250" s="1">
        <f>DATE(2026,6,2)</f>
        <v>46175</v>
      </c>
      <c r="H250">
        <f>VLOOKUP($C250,Limits!$A$2:$B$6,2,FALSE)</f>
        <v>5000</v>
      </c>
      <c r="I250" t="str">
        <f>IF(D250&gt;H250,"OVER","OK")</f>
        <v>OVER</v>
      </c>
      <c r="J250" t="str">
        <f>IF(G250="","OK",IF(G250&lt;F250,"BAD_DATE","OK"))</f>
        <v>OK</v>
      </c>
    </row>
    <row r="251">
      <c r="A251" t="s">
        <v>273</v>
      </c>
      <c r="B251" t="s">
        <v>26</v>
      </c>
      <c r="C251" t="s">
        <v>3</v>
      </c>
      <c r="D251">
        <v>15449</v>
      </c>
      <c r="E251" t="s">
        <v>19</v>
      </c>
      <c r="F251" s="1">
        <f>DATE(2026,5,14)</f>
        <v>46156</v>
      </c>
      <c r="H251">
        <f>VLOOKUP($C251,Limits!$A$2:$B$6,2,FALSE)</f>
        <v>20000</v>
      </c>
      <c r="I251" t="str">
        <f>IF(D251&gt;H251,"OVER","OK")</f>
        <v>OK</v>
      </c>
      <c r="J251" t="str">
        <f>IF(G251="","OK",IF(G251&lt;F251,"BAD_DATE","OK"))</f>
        <v>OK</v>
      </c>
    </row>
    <row r="252">
      <c r="A252" t="s">
        <v>274</v>
      </c>
      <c r="B252" t="s">
        <v>37</v>
      </c>
      <c r="C252" t="s">
        <v>3</v>
      </c>
      <c r="D252">
        <v>15444</v>
      </c>
      <c r="E252" t="s">
        <v>27</v>
      </c>
      <c r="F252" s="1">
        <f>DATE(2026,1,18)</f>
        <v>46040</v>
      </c>
      <c r="G252" s="1">
        <f>DATE(2026,1,23)</f>
        <v>46045</v>
      </c>
      <c r="H252">
        <f>VLOOKUP($C252,Limits!$A$2:$B$6,2,FALSE)</f>
        <v>20000</v>
      </c>
      <c r="I252" t="str">
        <f>IF(D252&gt;H252,"OVER","OK")</f>
        <v>OK</v>
      </c>
      <c r="J252" t="str">
        <f>IF(G252="","OK",IF(G252&lt;F252,"BAD_DATE","OK"))</f>
        <v>OK</v>
      </c>
    </row>
    <row r="253">
      <c r="A253" t="s">
        <v>275</v>
      </c>
      <c r="B253" t="s">
        <v>26</v>
      </c>
      <c r="C253" t="s">
        <v>4</v>
      </c>
      <c r="D253">
        <v>22541</v>
      </c>
      <c r="E253" t="s">
        <v>19</v>
      </c>
      <c r="F253" s="1">
        <f>DATE(2026,3,8)</f>
        <v>46089</v>
      </c>
      <c r="H253">
        <f>VLOOKUP($C253,Limits!$A$2:$B$6,2,FALSE)</f>
        <v>10000</v>
      </c>
      <c r="I253" t="str">
        <f>IF(D253&gt;H253,"OVER","OK")</f>
        <v>OVER</v>
      </c>
      <c r="J253" t="str">
        <f>IF(G253="","OK",IF(G253&lt;F253,"BAD_DATE","OK"))</f>
        <v>OK</v>
      </c>
    </row>
    <row r="254">
      <c r="A254" t="s">
        <v>276</v>
      </c>
      <c r="B254" t="s">
        <v>26</v>
      </c>
      <c r="C254" t="s">
        <v>6</v>
      </c>
      <c r="D254">
        <v>19554</v>
      </c>
      <c r="E254" t="s">
        <v>17</v>
      </c>
      <c r="F254" s="1">
        <f>DATE(2026,3,27)</f>
        <v>46108</v>
      </c>
      <c r="H254">
        <f>VLOOKUP($C254,Limits!$A$2:$B$6,2,FALSE)</f>
        <v>3000</v>
      </c>
      <c r="I254" t="str">
        <f>IF(D254&gt;H254,"OVER","OK")</f>
        <v>OVER</v>
      </c>
      <c r="J254" t="str">
        <f>IF(G254="","OK",IF(G254&lt;F254,"BAD_DATE","OK"))</f>
        <v>OK</v>
      </c>
    </row>
    <row r="255">
      <c r="A255" t="s">
        <v>277</v>
      </c>
      <c r="B255" t="s">
        <v>37</v>
      </c>
      <c r="C255" t="s">
        <v>4</v>
      </c>
      <c r="D255">
        <v>7957</v>
      </c>
      <c r="E255" t="s">
        <v>27</v>
      </c>
      <c r="F255" s="1">
        <f>DATE(2026,3,12)</f>
        <v>46093</v>
      </c>
      <c r="G255" s="1">
        <f>DATE(2026,3,29)</f>
        <v>46110</v>
      </c>
      <c r="H255">
        <f>VLOOKUP($C255,Limits!$A$2:$B$6,2,FALSE)</f>
        <v>10000</v>
      </c>
      <c r="I255" t="str">
        <f>IF(D255&gt;H255,"OVER","OK")</f>
        <v>OK</v>
      </c>
      <c r="J255" t="str">
        <f>IF(G255="","OK",IF(G255&lt;F255,"BAD_DATE","OK"))</f>
        <v>OK</v>
      </c>
    </row>
    <row r="256">
      <c r="A256" t="s">
        <v>278</v>
      </c>
      <c r="B256" t="s">
        <v>30</v>
      </c>
      <c r="C256" t="s">
        <v>4</v>
      </c>
      <c r="D256">
        <v>6701</v>
      </c>
      <c r="E256" t="s">
        <v>19</v>
      </c>
      <c r="F256" s="1">
        <f>DATE(2026,2,26)</f>
        <v>46079</v>
      </c>
      <c r="H256">
        <f>VLOOKUP($C256,Limits!$A$2:$B$6,2,FALSE)</f>
        <v>10000</v>
      </c>
      <c r="I256" t="str">
        <f>IF(D256&gt;H256,"OVER","OK")</f>
        <v>OK</v>
      </c>
      <c r="J256" t="str">
        <f>IF(G256="","OK",IF(G256&lt;F256,"BAD_DATE","OK"))</f>
        <v>OK</v>
      </c>
    </row>
    <row r="257">
      <c r="A257" t="s">
        <v>279</v>
      </c>
      <c r="B257" t="s">
        <v>21</v>
      </c>
      <c r="C257" t="s">
        <v>4</v>
      </c>
      <c r="D257">
        <v>1916</v>
      </c>
      <c r="E257" t="s">
        <v>22</v>
      </c>
      <c r="F257" s="1">
        <f>DATE(2026,5,1)</f>
        <v>46143</v>
      </c>
      <c r="G257" s="1">
        <f>DATE(2026,5,30)</f>
        <v>46172</v>
      </c>
      <c r="H257">
        <f>VLOOKUP($C257,Limits!$A$2:$B$6,2,FALSE)</f>
        <v>10000</v>
      </c>
      <c r="I257" t="str">
        <f>IF(D257&gt;H257,"OVER","OK")</f>
        <v>OK</v>
      </c>
      <c r="J257" t="str">
        <f>IF(G257="","OK",IF(G257&lt;F257,"BAD_DATE","OK"))</f>
        <v>OK</v>
      </c>
    </row>
    <row r="258">
      <c r="A258" t="s">
        <v>280</v>
      </c>
      <c r="B258" t="s">
        <v>16</v>
      </c>
      <c r="C258" t="s">
        <v>2</v>
      </c>
      <c r="D258">
        <v>1770</v>
      </c>
      <c r="E258" t="s">
        <v>22</v>
      </c>
      <c r="F258" s="1">
        <f>DATE(2026,4,14)</f>
        <v>46126</v>
      </c>
      <c r="G258" s="1">
        <f>DATE(2026,4,35)</f>
        <v>46147</v>
      </c>
      <c r="H258">
        <f>VLOOKUP($C258,Limits!$A$2:$B$6,2,FALSE)</f>
        <v>5000</v>
      </c>
      <c r="I258" t="str">
        <f>IF(D258&gt;H258,"OVER","OK")</f>
        <v>OK</v>
      </c>
      <c r="J258" t="str">
        <f>IF(G258="","OK",IF(G258&lt;F258,"BAD_DATE","OK"))</f>
        <v>OK</v>
      </c>
    </row>
    <row r="259">
      <c r="A259" t="s">
        <v>281</v>
      </c>
      <c r="B259" t="s">
        <v>21</v>
      </c>
      <c r="C259" t="s">
        <v>5</v>
      </c>
      <c r="D259">
        <v>4931</v>
      </c>
      <c r="E259" t="s">
        <v>17</v>
      </c>
      <c r="F259" s="1">
        <f>DATE(2026,5,1)</f>
        <v>46143</v>
      </c>
      <c r="H259">
        <f>VLOOKUP($C259,Limits!$A$2:$B$6,2,FALSE)</f>
        <v>15000</v>
      </c>
      <c r="I259" t="str">
        <f>IF(D259&gt;H259,"OVER","OK")</f>
        <v>OK</v>
      </c>
      <c r="J259" t="str">
        <f>IF(G259="","OK",IF(G259&lt;F259,"BAD_DATE","OK"))</f>
        <v>OK</v>
      </c>
    </row>
    <row r="260">
      <c r="A260" t="s">
        <v>282</v>
      </c>
      <c r="B260" t="s">
        <v>21</v>
      </c>
      <c r="C260" t="s">
        <v>4</v>
      </c>
      <c r="D260">
        <v>15109</v>
      </c>
      <c r="E260" t="s">
        <v>27</v>
      </c>
      <c r="F260" s="1">
        <f>DATE(2026,5,14)</f>
        <v>46156</v>
      </c>
      <c r="G260" s="1">
        <f>DATE(2026,5,39)</f>
        <v>46181</v>
      </c>
      <c r="H260">
        <f>VLOOKUP($C260,Limits!$A$2:$B$6,2,FALSE)</f>
        <v>10000</v>
      </c>
      <c r="I260" t="str">
        <f>IF(D260&gt;H260,"OVER","OK")</f>
        <v>OVER</v>
      </c>
      <c r="J260" t="str">
        <f>IF(G260="","OK",IF(G260&lt;F260,"BAD_DATE","OK"))</f>
        <v>OK</v>
      </c>
    </row>
    <row r="261">
      <c r="A261" t="s">
        <v>283</v>
      </c>
      <c r="B261" t="s">
        <v>37</v>
      </c>
      <c r="C261" t="s">
        <v>5</v>
      </c>
      <c r="D261">
        <v>7451</v>
      </c>
      <c r="E261" t="s">
        <v>27</v>
      </c>
      <c r="F261" s="1">
        <f>DATE(2026,5,21)</f>
        <v>46163</v>
      </c>
      <c r="G261" s="1">
        <f>DATE(2026,5,29)</f>
        <v>46171</v>
      </c>
      <c r="H261">
        <f>VLOOKUP($C261,Limits!$A$2:$B$6,2,FALSE)</f>
        <v>15000</v>
      </c>
      <c r="I261" t="str">
        <f>IF(D261&gt;H261,"OVER","OK")</f>
        <v>OK</v>
      </c>
      <c r="J261" t="str">
        <f>IF(G261="","OK",IF(G261&lt;F261,"BAD_DATE","OK"))</f>
        <v>OK</v>
      </c>
    </row>
    <row r="262">
      <c r="A262" t="s">
        <v>284</v>
      </c>
      <c r="B262" t="s">
        <v>21</v>
      </c>
      <c r="C262" t="s">
        <v>5</v>
      </c>
      <c r="D262">
        <v>15119</v>
      </c>
      <c r="E262" t="s">
        <v>27</v>
      </c>
      <c r="F262" s="1">
        <f>DATE(2026,2,16)</f>
        <v>46069</v>
      </c>
      <c r="G262" s="1">
        <f>DATE(2026,2,40)</f>
        <v>46093</v>
      </c>
      <c r="H262">
        <f>VLOOKUP($C262,Limits!$A$2:$B$6,2,FALSE)</f>
        <v>15000</v>
      </c>
      <c r="I262" t="str">
        <f>IF(D262&gt;H262,"OVER","OK")</f>
        <v>OVER</v>
      </c>
      <c r="J262" t="str">
        <f>IF(G262="","OK",IF(G262&lt;F262,"BAD_DATE","OK"))</f>
        <v>OK</v>
      </c>
    </row>
    <row r="263">
      <c r="A263" t="s">
        <v>285</v>
      </c>
      <c r="B263" t="s">
        <v>16</v>
      </c>
      <c r="C263" t="s">
        <v>5</v>
      </c>
      <c r="D263">
        <v>9466</v>
      </c>
      <c r="E263" t="s">
        <v>22</v>
      </c>
      <c r="F263" s="1">
        <f>DATE(2026,2,16)</f>
        <v>46069</v>
      </c>
      <c r="G263" s="1">
        <f>DATE(2026,2,34)</f>
        <v>46087</v>
      </c>
      <c r="H263">
        <f>VLOOKUP($C263,Limits!$A$2:$B$6,2,FALSE)</f>
        <v>15000</v>
      </c>
      <c r="I263" t="str">
        <f>IF(D263&gt;H263,"OVER","OK")</f>
        <v>OK</v>
      </c>
      <c r="J263" t="str">
        <f>IF(G263="","OK",IF(G263&lt;F263,"BAD_DATE","OK"))</f>
        <v>OK</v>
      </c>
    </row>
    <row r="264">
      <c r="A264" t="s">
        <v>286</v>
      </c>
      <c r="B264" t="s">
        <v>26</v>
      </c>
      <c r="C264" t="s">
        <v>5</v>
      </c>
      <c r="D264">
        <v>1364</v>
      </c>
      <c r="E264" t="s">
        <v>19</v>
      </c>
      <c r="F264" s="1">
        <f>DATE(2026,6,3)</f>
        <v>46176</v>
      </c>
      <c r="H264">
        <f>VLOOKUP($C264,Limits!$A$2:$B$6,2,FALSE)</f>
        <v>15000</v>
      </c>
      <c r="I264" t="str">
        <f>IF(D264&gt;H264,"OVER","OK")</f>
        <v>OK</v>
      </c>
      <c r="J264" t="str">
        <f>IF(G264="","OK",IF(G264&lt;F264,"BAD_DATE","OK"))</f>
        <v>OK</v>
      </c>
    </row>
    <row r="265">
      <c r="A265" t="s">
        <v>287</v>
      </c>
      <c r="B265" t="s">
        <v>26</v>
      </c>
      <c r="C265" t="s">
        <v>5</v>
      </c>
      <c r="D265">
        <v>23571</v>
      </c>
      <c r="E265" t="s">
        <v>17</v>
      </c>
      <c r="F265" s="1">
        <f>DATE(2026,4,18)</f>
        <v>46130</v>
      </c>
      <c r="H265">
        <f>VLOOKUP($C265,Limits!$A$2:$B$6,2,FALSE)</f>
        <v>15000</v>
      </c>
      <c r="I265" t="str">
        <f>IF(D265&gt;H265,"OVER","OK")</f>
        <v>OVER</v>
      </c>
      <c r="J265" t="str">
        <f>IF(G265="","OK",IF(G265&lt;F265,"BAD_DATE","OK"))</f>
        <v>OK</v>
      </c>
    </row>
    <row r="266">
      <c r="A266" t="s">
        <v>288</v>
      </c>
      <c r="B266" t="s">
        <v>26</v>
      </c>
      <c r="C266" t="s">
        <v>4</v>
      </c>
      <c r="D266">
        <v>13144</v>
      </c>
      <c r="E266" t="s">
        <v>19</v>
      </c>
      <c r="F266" s="1">
        <f>DATE(2026,3,14)</f>
        <v>46095</v>
      </c>
      <c r="H266">
        <f>VLOOKUP($C266,Limits!$A$2:$B$6,2,FALSE)</f>
        <v>10000</v>
      </c>
      <c r="I266" t="str">
        <f>IF(D266&gt;H266,"OVER","OK")</f>
        <v>OVER</v>
      </c>
      <c r="J266" t="str">
        <f>IF(G266="","OK",IF(G266&lt;F266,"BAD_DATE","OK"))</f>
        <v>OK</v>
      </c>
    </row>
    <row r="267">
      <c r="A267" t="s">
        <v>289</v>
      </c>
      <c r="B267" t="s">
        <v>21</v>
      </c>
      <c r="C267" t="s">
        <v>3</v>
      </c>
      <c r="D267">
        <v>7253</v>
      </c>
      <c r="E267" t="s">
        <v>27</v>
      </c>
      <c r="F267" s="1">
        <f>DATE(2026,5,8)</f>
        <v>46150</v>
      </c>
      <c r="G267" s="1">
        <f>DATE(2026,5,29)</f>
        <v>46171</v>
      </c>
      <c r="H267">
        <f>VLOOKUP($C267,Limits!$A$2:$B$6,2,FALSE)</f>
        <v>20000</v>
      </c>
      <c r="I267" t="str">
        <f>IF(D267&gt;H267,"OVER","OK")</f>
        <v>OK</v>
      </c>
      <c r="J267" t="str">
        <f>IF(G267="","OK",IF(G267&lt;F267,"BAD_DATE","OK"))</f>
        <v>OK</v>
      </c>
    </row>
    <row r="268">
      <c r="A268" t="s">
        <v>290</v>
      </c>
      <c r="B268" t="s">
        <v>16</v>
      </c>
      <c r="C268" t="s">
        <v>6</v>
      </c>
      <c r="D268">
        <v>8830</v>
      </c>
      <c r="E268" t="s">
        <v>17</v>
      </c>
      <c r="F268" s="1">
        <f>DATE(2026,5,11)</f>
        <v>46153</v>
      </c>
      <c r="H268">
        <f>VLOOKUP($C268,Limits!$A$2:$B$6,2,FALSE)</f>
        <v>3000</v>
      </c>
      <c r="I268" t="str">
        <f>IF(D268&gt;H268,"OVER","OK")</f>
        <v>OVER</v>
      </c>
      <c r="J268" t="str">
        <f>IF(G268="","OK",IF(G268&lt;F268,"BAD_DATE","OK"))</f>
        <v>OK</v>
      </c>
    </row>
    <row r="269">
      <c r="A269" t="s">
        <v>291</v>
      </c>
      <c r="B269" t="s">
        <v>21</v>
      </c>
      <c r="C269" t="s">
        <v>2</v>
      </c>
      <c r="D269">
        <v>7081</v>
      </c>
      <c r="E269" t="s">
        <v>19</v>
      </c>
      <c r="F269" s="1">
        <f>DATE(2026,2,15)</f>
        <v>46068</v>
      </c>
      <c r="H269">
        <f>VLOOKUP($C269,Limits!$A$2:$B$6,2,FALSE)</f>
        <v>5000</v>
      </c>
      <c r="I269" t="str">
        <f>IF(D269&gt;H269,"OVER","OK")</f>
        <v>OVER</v>
      </c>
      <c r="J269" t="str">
        <f>IF(G269="","OK",IF(G269&lt;F269,"BAD_DATE","OK"))</f>
        <v>OK</v>
      </c>
    </row>
    <row r="270">
      <c r="A270" t="s">
        <v>292</v>
      </c>
      <c r="B270" t="s">
        <v>21</v>
      </c>
      <c r="C270" t="s">
        <v>5</v>
      </c>
      <c r="D270">
        <v>3467</v>
      </c>
      <c r="E270" t="s">
        <v>19</v>
      </c>
      <c r="F270" s="1">
        <f>DATE(2026,3,15)</f>
        <v>46096</v>
      </c>
      <c r="H270">
        <f>VLOOKUP($C270,Limits!$A$2:$B$6,2,FALSE)</f>
        <v>15000</v>
      </c>
      <c r="I270" t="str">
        <f>IF(D270&gt;H270,"OVER","OK")</f>
        <v>OK</v>
      </c>
      <c r="J270" t="str">
        <f>IF(G270="","OK",IF(G270&lt;F270,"BAD_DATE","OK"))</f>
        <v>OK</v>
      </c>
    </row>
    <row r="271">
      <c r="A271" t="s">
        <v>293</v>
      </c>
      <c r="B271" t="s">
        <v>26</v>
      </c>
      <c r="C271" t="s">
        <v>5</v>
      </c>
      <c r="D271">
        <v>6325</v>
      </c>
      <c r="E271" t="s">
        <v>17</v>
      </c>
      <c r="F271" s="1">
        <f>DATE(2026,5,21)</f>
        <v>46163</v>
      </c>
      <c r="H271">
        <f>VLOOKUP($C271,Limits!$A$2:$B$6,2,FALSE)</f>
        <v>15000</v>
      </c>
      <c r="I271" t="str">
        <f>IF(D271&gt;H271,"OVER","OK")</f>
        <v>OK</v>
      </c>
      <c r="J271" t="str">
        <f>IF(G271="","OK",IF(G271&lt;F271,"BAD_DATE","OK"))</f>
        <v>OK</v>
      </c>
    </row>
    <row r="272">
      <c r="A272" t="s">
        <v>294</v>
      </c>
      <c r="B272" t="s">
        <v>16</v>
      </c>
      <c r="C272" t="s">
        <v>6</v>
      </c>
      <c r="D272">
        <v>15210</v>
      </c>
      <c r="E272" t="s">
        <v>19</v>
      </c>
      <c r="F272" s="1">
        <f>DATE(2026,5,27)</f>
        <v>46169</v>
      </c>
      <c r="H272">
        <f>VLOOKUP($C272,Limits!$A$2:$B$6,2,FALSE)</f>
        <v>3000</v>
      </c>
      <c r="I272" t="str">
        <f>IF(D272&gt;H272,"OVER","OK")</f>
        <v>OVER</v>
      </c>
      <c r="J272" t="str">
        <f>IF(G272="","OK",IF(G272&lt;F272,"BAD_DATE","OK"))</f>
        <v>OK</v>
      </c>
    </row>
    <row r="273">
      <c r="A273" t="s">
        <v>295</v>
      </c>
      <c r="B273" t="s">
        <v>21</v>
      </c>
      <c r="C273" t="s">
        <v>5</v>
      </c>
      <c r="D273">
        <v>13190</v>
      </c>
      <c r="E273" t="s">
        <v>27</v>
      </c>
      <c r="F273" s="1">
        <f>DATE(2026,1,1)</f>
        <v>46023</v>
      </c>
      <c r="G273" s="1">
        <f>DATE(2026,1,22)</f>
        <v>46044</v>
      </c>
      <c r="H273">
        <f>VLOOKUP($C273,Limits!$A$2:$B$6,2,FALSE)</f>
        <v>15000</v>
      </c>
      <c r="I273" t="str">
        <f>IF(D273&gt;H273,"OVER","OK")</f>
        <v>OK</v>
      </c>
      <c r="J273" t="str">
        <f>IF(G273="","OK",IF(G273&lt;F273,"BAD_DATE","OK"))</f>
        <v>OK</v>
      </c>
    </row>
    <row r="274">
      <c r="A274" t="s">
        <v>296</v>
      </c>
      <c r="B274" t="s">
        <v>37</v>
      </c>
      <c r="C274" t="s">
        <v>5</v>
      </c>
      <c r="D274">
        <v>2750</v>
      </c>
      <c r="E274" t="s">
        <v>22</v>
      </c>
      <c r="F274" s="1">
        <f>DATE(2026,4,10)</f>
        <v>46122</v>
      </c>
      <c r="G274" s="1">
        <f>DATE(2026,4,26)</f>
        <v>46138</v>
      </c>
      <c r="H274">
        <f>VLOOKUP($C274,Limits!$A$2:$B$6,2,FALSE)</f>
        <v>15000</v>
      </c>
      <c r="I274" t="str">
        <f>IF(D274&gt;H274,"OVER","OK")</f>
        <v>OK</v>
      </c>
      <c r="J274" t="str">
        <f>IF(G274="","OK",IF(G274&lt;F274,"BAD_DATE","OK"))</f>
        <v>OK</v>
      </c>
    </row>
    <row r="275">
      <c r="A275" t="s">
        <v>297</v>
      </c>
      <c r="B275" t="s">
        <v>16</v>
      </c>
      <c r="C275" t="s">
        <v>6</v>
      </c>
      <c r="D275">
        <v>6193</v>
      </c>
      <c r="E275" t="s">
        <v>27</v>
      </c>
      <c r="F275" s="1">
        <f>DATE(2026,1,15)</f>
        <v>46037</v>
      </c>
      <c r="G275" s="1">
        <f>DATE(2026,1,34)</f>
        <v>46056</v>
      </c>
      <c r="H275">
        <f>VLOOKUP($C275,Limits!$A$2:$B$6,2,FALSE)</f>
        <v>3000</v>
      </c>
      <c r="I275" t="str">
        <f>IF(D275&gt;H275,"OVER","OK")</f>
        <v>OVER</v>
      </c>
      <c r="J275" t="str">
        <f>IF(G275="","OK",IF(G275&lt;F275,"BAD_DATE","OK"))</f>
        <v>OK</v>
      </c>
    </row>
    <row r="276">
      <c r="A276" t="s">
        <v>298</v>
      </c>
      <c r="B276" t="s">
        <v>21</v>
      </c>
      <c r="C276" t="s">
        <v>4</v>
      </c>
      <c r="D276">
        <v>11649</v>
      </c>
      <c r="E276" t="s">
        <v>17</v>
      </c>
      <c r="F276" s="1">
        <f>DATE(2026,1,11)</f>
        <v>46033</v>
      </c>
      <c r="H276">
        <f>VLOOKUP($C276,Limits!$A$2:$B$6,2,FALSE)</f>
        <v>10000</v>
      </c>
      <c r="I276" t="str">
        <f>IF(D276&gt;H276,"OVER","OK")</f>
        <v>OVER</v>
      </c>
      <c r="J276" t="str">
        <f>IF(G276="","OK",IF(G276&lt;F276,"BAD_DATE","OK"))</f>
        <v>OK</v>
      </c>
    </row>
    <row r="277">
      <c r="A277" t="s">
        <v>299</v>
      </c>
      <c r="B277" t="s">
        <v>26</v>
      </c>
      <c r="C277" t="s">
        <v>5</v>
      </c>
      <c r="D277">
        <v>13348</v>
      </c>
      <c r="E277" t="s">
        <v>17</v>
      </c>
      <c r="F277" s="1">
        <f>DATE(2026,2,23)</f>
        <v>46076</v>
      </c>
      <c r="H277">
        <f>VLOOKUP($C277,Limits!$A$2:$B$6,2,FALSE)</f>
        <v>15000</v>
      </c>
      <c r="I277" t="str">
        <f>IF(D277&gt;H277,"OVER","OK")</f>
        <v>OK</v>
      </c>
      <c r="J277" t="str">
        <f>IF(G277="","OK",IF(G277&lt;F277,"BAD_DATE","OK"))</f>
        <v>OK</v>
      </c>
    </row>
    <row r="278">
      <c r="A278" t="s">
        <v>300</v>
      </c>
      <c r="B278" t="s">
        <v>37</v>
      </c>
      <c r="C278" t="s">
        <v>3</v>
      </c>
      <c r="D278">
        <v>22047</v>
      </c>
      <c r="E278" t="s">
        <v>17</v>
      </c>
      <c r="F278" s="1">
        <f>DATE(2026,4,9)</f>
        <v>46121</v>
      </c>
      <c r="H278">
        <f>VLOOKUP($C278,Limits!$A$2:$B$6,2,FALSE)</f>
        <v>20000</v>
      </c>
      <c r="I278" t="str">
        <f>IF(D278&gt;H278,"OVER","OK")</f>
        <v>OVER</v>
      </c>
      <c r="J278" t="str">
        <f>IF(G278="","OK",IF(G278&lt;F278,"BAD_DATE","OK"))</f>
        <v>OK</v>
      </c>
    </row>
    <row r="279">
      <c r="A279" t="s">
        <v>301</v>
      </c>
      <c r="B279" t="s">
        <v>30</v>
      </c>
      <c r="C279" t="s">
        <v>3</v>
      </c>
      <c r="D279">
        <v>371</v>
      </c>
      <c r="E279" t="s">
        <v>27</v>
      </c>
      <c r="F279" s="1">
        <f>DATE(2026,4,9)</f>
        <v>46121</v>
      </c>
      <c r="G279" s="1">
        <f>DATE(2026,4,39)</f>
        <v>46151</v>
      </c>
      <c r="H279">
        <f>VLOOKUP($C279,Limits!$A$2:$B$6,2,FALSE)</f>
        <v>20000</v>
      </c>
      <c r="I279" t="str">
        <f>IF(D279&gt;H279,"OVER","OK")</f>
        <v>OK</v>
      </c>
      <c r="J279" t="str">
        <f>IF(G279="","OK",IF(G279&lt;F279,"BAD_DATE","OK"))</f>
        <v>OK</v>
      </c>
    </row>
    <row r="280">
      <c r="A280" t="s">
        <v>302</v>
      </c>
      <c r="B280" t="s">
        <v>16</v>
      </c>
      <c r="C280" t="s">
        <v>5</v>
      </c>
      <c r="D280">
        <v>10356</v>
      </c>
      <c r="E280" t="s">
        <v>17</v>
      </c>
      <c r="F280" s="1">
        <f>DATE(2026,2,19)</f>
        <v>46072</v>
      </c>
      <c r="H280">
        <f>VLOOKUP($C280,Limits!$A$2:$B$6,2,FALSE)</f>
        <v>15000</v>
      </c>
      <c r="I280" t="str">
        <f>IF(D280&gt;H280,"OVER","OK")</f>
        <v>OK</v>
      </c>
      <c r="J280" t="str">
        <f>IF(G280="","OK",IF(G280&lt;F280,"BAD_DATE","OK"))</f>
        <v>OK</v>
      </c>
    </row>
    <row r="281">
      <c r="A281" t="s">
        <v>303</v>
      </c>
      <c r="B281" t="s">
        <v>16</v>
      </c>
      <c r="C281" t="s">
        <v>6</v>
      </c>
      <c r="D281">
        <v>5855</v>
      </c>
      <c r="E281" t="s">
        <v>19</v>
      </c>
      <c r="F281" s="1">
        <f>DATE(2026,1,28)</f>
        <v>46050</v>
      </c>
      <c r="H281">
        <f>VLOOKUP($C281,Limits!$A$2:$B$6,2,FALSE)</f>
        <v>3000</v>
      </c>
      <c r="I281" t="str">
        <f>IF(D281&gt;H281,"OVER","OK")</f>
        <v>OVER</v>
      </c>
      <c r="J281" t="str">
        <f>IF(G281="","OK",IF(G281&lt;F281,"BAD_DATE","OK"))</f>
        <v>OK</v>
      </c>
    </row>
    <row r="282">
      <c r="A282" t="s">
        <v>304</v>
      </c>
      <c r="B282" t="s">
        <v>16</v>
      </c>
      <c r="C282" t="s">
        <v>2</v>
      </c>
      <c r="D282">
        <v>13799</v>
      </c>
      <c r="E282" t="s">
        <v>19</v>
      </c>
      <c r="F282" s="1">
        <f>DATE(2026,5,26)</f>
        <v>46168</v>
      </c>
      <c r="H282">
        <f>VLOOKUP($C282,Limits!$A$2:$B$6,2,FALSE)</f>
        <v>5000</v>
      </c>
      <c r="I282" t="str">
        <f>IF(D282&gt;H282,"OVER","OK")</f>
        <v>OVER</v>
      </c>
      <c r="J282" t="str">
        <f>IF(G282="","OK",IF(G282&lt;F282,"BAD_DATE","OK"))</f>
        <v>OK</v>
      </c>
    </row>
    <row r="283">
      <c r="A283" t="s">
        <v>305</v>
      </c>
      <c r="B283" t="s">
        <v>37</v>
      </c>
      <c r="C283" t="s">
        <v>2</v>
      </c>
      <c r="D283">
        <v>4468</v>
      </c>
      <c r="E283" t="s">
        <v>27</v>
      </c>
      <c r="F283" s="1">
        <f>DATE(2026,4,25)</f>
        <v>46137</v>
      </c>
      <c r="G283" s="1">
        <f>DATE(2026,4,54)</f>
        <v>46166</v>
      </c>
      <c r="H283">
        <f>VLOOKUP($C283,Limits!$A$2:$B$6,2,FALSE)</f>
        <v>5000</v>
      </c>
      <c r="I283" t="str">
        <f>IF(D283&gt;H283,"OVER","OK")</f>
        <v>OK</v>
      </c>
      <c r="J283" t="str">
        <f>IF(G283="","OK",IF(G283&lt;F283,"BAD_DATE","OK"))</f>
        <v>OK</v>
      </c>
    </row>
    <row r="284">
      <c r="A284" t="s">
        <v>306</v>
      </c>
      <c r="B284" t="s">
        <v>37</v>
      </c>
      <c r="C284" t="s">
        <v>6</v>
      </c>
      <c r="D284">
        <v>20101</v>
      </c>
      <c r="E284" t="s">
        <v>19</v>
      </c>
      <c r="F284" s="1">
        <f>DATE(2026,5,20)</f>
        <v>46162</v>
      </c>
      <c r="H284">
        <f>VLOOKUP($C284,Limits!$A$2:$B$6,2,FALSE)</f>
        <v>3000</v>
      </c>
      <c r="I284" t="str">
        <f>IF(D284&gt;H284,"OVER","OK")</f>
        <v>OVER</v>
      </c>
      <c r="J284" t="str">
        <f>IF(G284="","OK",IF(G284&lt;F284,"BAD_DATE","OK"))</f>
        <v>OK</v>
      </c>
    </row>
    <row r="285">
      <c r="A285" t="s">
        <v>307</v>
      </c>
      <c r="B285" t="s">
        <v>30</v>
      </c>
      <c r="C285" t="s">
        <v>2</v>
      </c>
      <c r="D285">
        <v>21837</v>
      </c>
      <c r="E285" t="s">
        <v>22</v>
      </c>
      <c r="F285" s="1">
        <f>DATE(2026,4,8)</f>
        <v>46120</v>
      </c>
      <c r="G285" s="1">
        <f>DATE(2026,4,37)</f>
        <v>46149</v>
      </c>
      <c r="H285">
        <f>VLOOKUP($C285,Limits!$A$2:$B$6,2,FALSE)</f>
        <v>5000</v>
      </c>
      <c r="I285" t="str">
        <f>IF(D285&gt;H285,"OVER","OK")</f>
        <v>OVER</v>
      </c>
      <c r="J285" t="str">
        <f>IF(G285="","OK",IF(G285&lt;F285,"BAD_DATE","OK"))</f>
        <v>OK</v>
      </c>
    </row>
    <row r="286">
      <c r="A286" t="s">
        <v>308</v>
      </c>
      <c r="B286" t="s">
        <v>30</v>
      </c>
      <c r="C286" t="s">
        <v>2</v>
      </c>
      <c r="D286">
        <v>9465</v>
      </c>
      <c r="E286" t="s">
        <v>22</v>
      </c>
      <c r="F286" s="1">
        <f>DATE(2026,4,7)</f>
        <v>46119</v>
      </c>
      <c r="G286" s="1">
        <f>DATE(2026,4,26)</f>
        <v>46138</v>
      </c>
      <c r="H286">
        <f>VLOOKUP($C286,Limits!$A$2:$B$6,2,FALSE)</f>
        <v>5000</v>
      </c>
      <c r="I286" t="str">
        <f>IF(D286&gt;H286,"OVER","OK")</f>
        <v>OVER</v>
      </c>
      <c r="J286" t="str">
        <f>IF(G286="","OK",IF(G286&lt;F286,"BAD_DATE","OK"))</f>
        <v>OK</v>
      </c>
    </row>
    <row r="287">
      <c r="A287" t="s">
        <v>309</v>
      </c>
      <c r="B287" t="s">
        <v>37</v>
      </c>
      <c r="C287" t="s">
        <v>3</v>
      </c>
      <c r="D287">
        <v>19995</v>
      </c>
      <c r="E287" t="s">
        <v>19</v>
      </c>
      <c r="F287" s="1">
        <f>DATE(2026,6,14)</f>
        <v>46187</v>
      </c>
      <c r="H287">
        <f>VLOOKUP($C287,Limits!$A$2:$B$6,2,FALSE)</f>
        <v>20000</v>
      </c>
      <c r="I287" t="str">
        <f>IF(D287&gt;H287,"OVER","OK")</f>
        <v>OK</v>
      </c>
      <c r="J287" t="str">
        <f>IF(G287="","OK",IF(G287&lt;F287,"BAD_DATE","OK"))</f>
        <v>OK</v>
      </c>
    </row>
    <row r="288">
      <c r="A288" t="s">
        <v>310</v>
      </c>
      <c r="B288" t="s">
        <v>30</v>
      </c>
      <c r="C288" t="s">
        <v>2</v>
      </c>
      <c r="D288">
        <v>15102</v>
      </c>
      <c r="E288" t="s">
        <v>19</v>
      </c>
      <c r="F288" s="1">
        <f>DATE(2026,6,19)</f>
        <v>46192</v>
      </c>
      <c r="H288">
        <f>VLOOKUP($C288,Limits!$A$2:$B$6,2,FALSE)</f>
        <v>5000</v>
      </c>
      <c r="I288" t="str">
        <f>IF(D288&gt;H288,"OVER","OK")</f>
        <v>OVER</v>
      </c>
      <c r="J288" t="str">
        <f>IF(G288="","OK",IF(G288&lt;F288,"BAD_DATE","OK"))</f>
        <v>OK</v>
      </c>
    </row>
    <row r="289">
      <c r="A289" t="s">
        <v>311</v>
      </c>
      <c r="B289" t="s">
        <v>37</v>
      </c>
      <c r="C289" t="s">
        <v>4</v>
      </c>
      <c r="D289">
        <v>24387</v>
      </c>
      <c r="E289" t="s">
        <v>17</v>
      </c>
      <c r="F289" s="1">
        <f>DATE(2026,5,19)</f>
        <v>46161</v>
      </c>
      <c r="H289">
        <f>VLOOKUP($C289,Limits!$A$2:$B$6,2,FALSE)</f>
        <v>10000</v>
      </c>
      <c r="I289" t="str">
        <f>IF(D289&gt;H289,"OVER","OK")</f>
        <v>OVER</v>
      </c>
      <c r="J289" t="str">
        <f>IF(G289="","OK",IF(G289&lt;F289,"BAD_DATE","OK"))</f>
        <v>OK</v>
      </c>
    </row>
    <row r="290">
      <c r="A290" t="s">
        <v>312</v>
      </c>
      <c r="B290" t="s">
        <v>26</v>
      </c>
      <c r="C290" t="s">
        <v>5</v>
      </c>
      <c r="D290">
        <v>21114</v>
      </c>
      <c r="E290" t="s">
        <v>27</v>
      </c>
      <c r="F290" s="1">
        <f>DATE(2026,1,24)</f>
        <v>46046</v>
      </c>
      <c r="G290" s="1">
        <f>DATE(2026,1,25)</f>
        <v>46047</v>
      </c>
      <c r="H290">
        <f>VLOOKUP($C290,Limits!$A$2:$B$6,2,FALSE)</f>
        <v>15000</v>
      </c>
      <c r="I290" t="str">
        <f>IF(D290&gt;H290,"OVER","OK")</f>
        <v>OVER</v>
      </c>
      <c r="J290" t="str">
        <f>IF(G290="","OK",IF(G290&lt;F290,"BAD_DATE","OK"))</f>
        <v>OK</v>
      </c>
    </row>
    <row r="291">
      <c r="A291" t="s">
        <v>313</v>
      </c>
      <c r="B291" t="s">
        <v>30</v>
      </c>
      <c r="C291" t="s">
        <v>3</v>
      </c>
      <c r="D291">
        <v>12937</v>
      </c>
      <c r="E291" t="s">
        <v>19</v>
      </c>
      <c r="F291" s="1">
        <f>DATE(2026,1,3)</f>
        <v>46025</v>
      </c>
      <c r="H291">
        <f>VLOOKUP($C291,Limits!$A$2:$B$6,2,FALSE)</f>
        <v>20000</v>
      </c>
      <c r="I291" t="str">
        <f>IF(D291&gt;H291,"OVER","OK")</f>
        <v>OK</v>
      </c>
      <c r="J291" t="str">
        <f>IF(G291="","OK",IF(G291&lt;F291,"BAD_DATE","OK"))</f>
        <v>OK</v>
      </c>
    </row>
    <row r="292">
      <c r="A292" t="s">
        <v>314</v>
      </c>
      <c r="B292" t="s">
        <v>30</v>
      </c>
      <c r="C292" t="s">
        <v>3</v>
      </c>
      <c r="D292">
        <v>3579</v>
      </c>
      <c r="E292" t="s">
        <v>27</v>
      </c>
      <c r="F292" s="1">
        <f>DATE(2026,4,23)</f>
        <v>46135</v>
      </c>
      <c r="G292" s="1">
        <f>DATE(2026,4,45)</f>
        <v>46157</v>
      </c>
      <c r="H292">
        <f>VLOOKUP($C292,Limits!$A$2:$B$6,2,FALSE)</f>
        <v>20000</v>
      </c>
      <c r="I292" t="str">
        <f>IF(D292&gt;H292,"OVER","OK")</f>
        <v>OK</v>
      </c>
      <c r="J292" t="str">
        <f>IF(G292="","OK",IF(G292&lt;F292,"BAD_DATE","OK"))</f>
        <v>OK</v>
      </c>
    </row>
    <row r="293">
      <c r="A293" t="s">
        <v>315</v>
      </c>
      <c r="B293" t="s">
        <v>30</v>
      </c>
      <c r="C293" t="s">
        <v>3</v>
      </c>
      <c r="D293">
        <v>10000</v>
      </c>
      <c r="E293" t="s">
        <v>19</v>
      </c>
      <c r="F293" s="1">
        <f>DATE(2026,1,17)</f>
        <v>46039</v>
      </c>
      <c r="H293">
        <f>VLOOKUP($C293,Limits!$A$2:$B$6,2,FALSE)</f>
        <v>20000</v>
      </c>
      <c r="I293" t="str">
        <f>IF(D293&gt;H293,"OVER","OK")</f>
        <v>OK</v>
      </c>
      <c r="J293" t="str">
        <f>IF(G293="","OK",IF(G293&lt;F293,"BAD_DATE","OK"))</f>
        <v>OK</v>
      </c>
    </row>
    <row r="294">
      <c r="A294" t="s">
        <v>316</v>
      </c>
      <c r="B294" t="s">
        <v>16</v>
      </c>
      <c r="C294" t="s">
        <v>6</v>
      </c>
      <c r="D294">
        <v>14382</v>
      </c>
      <c r="E294" t="s">
        <v>19</v>
      </c>
      <c r="F294" s="1">
        <f>DATE(2026,6,15)</f>
        <v>46188</v>
      </c>
      <c r="H294">
        <f>VLOOKUP($C294,Limits!$A$2:$B$6,2,FALSE)</f>
        <v>3000</v>
      </c>
      <c r="I294" t="str">
        <f>IF(D294&gt;H294,"OVER","OK")</f>
        <v>OVER</v>
      </c>
      <c r="J294" t="str">
        <f>IF(G294="","OK",IF(G294&lt;F294,"BAD_DATE","OK"))</f>
        <v>OK</v>
      </c>
    </row>
    <row r="295">
      <c r="A295" t="s">
        <v>317</v>
      </c>
      <c r="B295" t="s">
        <v>37</v>
      </c>
      <c r="C295" t="s">
        <v>2</v>
      </c>
      <c r="D295">
        <v>18115</v>
      </c>
      <c r="E295" t="s">
        <v>27</v>
      </c>
      <c r="F295" s="1">
        <f>DATE(2026,2,21)</f>
        <v>46074</v>
      </c>
      <c r="G295" s="1">
        <f>DATE(2026,2,32)</f>
        <v>46085</v>
      </c>
      <c r="H295">
        <f>VLOOKUP($C295,Limits!$A$2:$B$6,2,FALSE)</f>
        <v>5000</v>
      </c>
      <c r="I295" t="str">
        <f>IF(D295&gt;H295,"OVER","OK")</f>
        <v>OVER</v>
      </c>
      <c r="J295" t="str">
        <f>IF(G295="","OK",IF(G295&lt;F295,"BAD_DATE","OK"))</f>
        <v>OK</v>
      </c>
    </row>
    <row r="296">
      <c r="A296" t="s">
        <v>318</v>
      </c>
      <c r="B296" t="s">
        <v>37</v>
      </c>
      <c r="C296" t="s">
        <v>3</v>
      </c>
      <c r="D296">
        <v>5457</v>
      </c>
      <c r="E296" t="s">
        <v>22</v>
      </c>
      <c r="F296" s="1">
        <f>DATE(2026,3,21)</f>
        <v>46102</v>
      </c>
      <c r="G296" s="1">
        <f>DATE(2026,3,39)</f>
        <v>46120</v>
      </c>
      <c r="H296">
        <f>VLOOKUP($C296,Limits!$A$2:$B$6,2,FALSE)</f>
        <v>20000</v>
      </c>
      <c r="I296" t="str">
        <f>IF(D296&gt;H296,"OVER","OK")</f>
        <v>OK</v>
      </c>
      <c r="J296" t="str">
        <f>IF(G296="","OK",IF(G296&lt;F296,"BAD_DATE","OK"))</f>
        <v>OK</v>
      </c>
    </row>
    <row r="297">
      <c r="A297" t="s">
        <v>319</v>
      </c>
      <c r="B297" t="s">
        <v>16</v>
      </c>
      <c r="C297" t="s">
        <v>6</v>
      </c>
      <c r="D297">
        <v>14674</v>
      </c>
      <c r="E297" t="s">
        <v>19</v>
      </c>
      <c r="F297" s="1">
        <f>DATE(2026,3,12)</f>
        <v>46093</v>
      </c>
      <c r="H297">
        <f>VLOOKUP($C297,Limits!$A$2:$B$6,2,FALSE)</f>
        <v>3000</v>
      </c>
      <c r="I297" t="str">
        <f>IF(D297&gt;H297,"OVER","OK")</f>
        <v>OVER</v>
      </c>
      <c r="J297" t="str">
        <f>IF(G297="","OK",IF(G297&lt;F297,"BAD_DATE","OK"))</f>
        <v>OK</v>
      </c>
    </row>
    <row r="298">
      <c r="A298" t="s">
        <v>320</v>
      </c>
      <c r="B298" t="s">
        <v>21</v>
      </c>
      <c r="C298" t="s">
        <v>6</v>
      </c>
      <c r="D298">
        <v>5996</v>
      </c>
      <c r="E298" t="s">
        <v>17</v>
      </c>
      <c r="F298" s="1">
        <f>DATE(2026,3,16)</f>
        <v>46097</v>
      </c>
      <c r="H298">
        <f>VLOOKUP($C298,Limits!$A$2:$B$6,2,FALSE)</f>
        <v>3000</v>
      </c>
      <c r="I298" t="str">
        <f>IF(D298&gt;H298,"OVER","OK")</f>
        <v>OVER</v>
      </c>
      <c r="J298" t="str">
        <f>IF(G298="","OK",IF(G298&lt;F298,"BAD_DATE","OK"))</f>
        <v>OK</v>
      </c>
    </row>
    <row r="299">
      <c r="A299" t="s">
        <v>321</v>
      </c>
      <c r="B299" t="s">
        <v>37</v>
      </c>
      <c r="C299" t="s">
        <v>5</v>
      </c>
      <c r="D299">
        <v>17809</v>
      </c>
      <c r="E299" t="s">
        <v>17</v>
      </c>
      <c r="F299" s="1">
        <f>DATE(2026,2,24)</f>
        <v>46077</v>
      </c>
      <c r="H299">
        <f>VLOOKUP($C299,Limits!$A$2:$B$6,2,FALSE)</f>
        <v>15000</v>
      </c>
      <c r="I299" t="str">
        <f>IF(D299&gt;H299,"OVER","OK")</f>
        <v>OVER</v>
      </c>
      <c r="J299" t="str">
        <f>IF(G299="","OK",IF(G299&lt;F299,"BAD_DATE","OK"))</f>
        <v>OK</v>
      </c>
    </row>
    <row r="300">
      <c r="A300" t="s">
        <v>322</v>
      </c>
      <c r="B300" t="s">
        <v>26</v>
      </c>
      <c r="C300" t="s">
        <v>2</v>
      </c>
      <c r="D300">
        <v>24167</v>
      </c>
      <c r="E300" t="s">
        <v>19</v>
      </c>
      <c r="F300" s="1">
        <f>DATE(2026,3,13)</f>
        <v>46094</v>
      </c>
      <c r="H300">
        <f>VLOOKUP($C300,Limits!$A$2:$B$6,2,FALSE)</f>
        <v>5000</v>
      </c>
      <c r="I300" t="str">
        <f>IF(D300&gt;H300,"OVER","OK")</f>
        <v>OVER</v>
      </c>
      <c r="J300" t="str">
        <f>IF(G300="","OK",IF(G300&lt;F300,"BAD_DATE","OK"))</f>
        <v>OK</v>
      </c>
    </row>
    <row r="301">
      <c r="A301" t="s">
        <v>323</v>
      </c>
      <c r="B301" t="s">
        <v>30</v>
      </c>
      <c r="C301" t="s">
        <v>5</v>
      </c>
      <c r="D301">
        <v>6159</v>
      </c>
      <c r="E301" t="s">
        <v>22</v>
      </c>
      <c r="F301" s="1">
        <f>DATE(2026,3,9)</f>
        <v>46090</v>
      </c>
      <c r="G301" s="1">
        <f>DATE(2026,3,13)</f>
        <v>46094</v>
      </c>
      <c r="H301">
        <f>VLOOKUP($C301,Limits!$A$2:$B$6,2,FALSE)</f>
        <v>15000</v>
      </c>
      <c r="I301" t="str">
        <f>IF(D301&gt;H301,"OVER","OK")</f>
        <v>OK</v>
      </c>
      <c r="J301" t="str">
        <f>IF(G301="","OK",IF(G301&lt;F301,"BAD_DATE","OK"))</f>
        <v>OK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1" sqref="A1"/>
    </sheetView>
  </sheetViews>
  <sheetData>
    <row r="1">
      <c r="A1" t="s">
        <v>0</v>
      </c>
      <c r="B1" t="s">
        <v>1</v>
      </c>
    </row>
    <row r="2">
      <c r="A2" t="s">
        <v>2</v>
      </c>
      <c r="B2">
        <v>5000</v>
      </c>
    </row>
    <row r="3">
      <c r="A3" t="s">
        <v>3</v>
      </c>
      <c r="B3">
        <v>20000</v>
      </c>
    </row>
    <row r="4">
      <c r="A4" t="s">
        <v>4</v>
      </c>
      <c r="B4">
        <v>10000</v>
      </c>
    </row>
    <row r="5">
      <c r="A5" t="s">
        <v>5</v>
      </c>
      <c r="B5">
        <v>15000</v>
      </c>
    </row>
    <row r="6">
      <c r="A6" t="s">
        <v>6</v>
      </c>
      <c r="B6">
        <v>3000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IronCalc Sheets</Application>
  <AppVersion>10.0000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IronCalc User</cp:lastModifiedBy>
  <cp:revision/>
  <dcterms:created xsi:type="dcterms:W3CDTF">2026-01-01T00:00:00Z</dcterms:created>
  <dcterms:modified xsi:type="dcterms:W3CDTF">2026-01-01T00:00:00Z</dcterms:modified>
  <cp:category/>
  <cp:contentStatus/>
</cp:coreProperties>
</file>