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ranch1" sheetId="1" r:id="rId1"/>
    <sheet name="Branch2" sheetId="2" r:id="rId2"/>
    <sheet name="Branch3" sheetId="3" r:id="rId3"/>
    <sheet name="Branch4" sheetId="4" r:id="rId4"/>
    <sheet name="Branch5" sheetId="5" r:id="rId5"/>
    <sheet name="Consolidated" sheetId="6" r:id="rId6"/>
  </sheets>
  <definedNames/>
  <calcPr/>
</workbook>
</file>

<file path=xl/sharedStrings.xml><?xml version="1.0" encoding="utf-8"?>
<sst xmlns="http://schemas.openxmlformats.org/spreadsheetml/2006/main" count="30" uniqueCount="30">
  <si>
    <t>Account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</si>
  <si>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</si>
  <si>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</si>
  <si>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</si>
  <si>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</si>
  <si>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</si>
  <si>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</si>
  <si>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</si>
  <si>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</si>
  <si>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</si>
  <si>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</si>
  <si>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</si>
  <si>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</si>
  <si>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</si>
  <si>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COGS</t>
  </si>
  <si>
    <t>Gross Profit</t>
  </si>
  <si>
    <t>Salaries</t>
  </si>
  <si>
    <t>Rent</t>
  </si>
  <si>
    <t>Utilities</t>
  </si>
  <si>
    <t>Marketing</t>
  </si>
  <si>
    <t>Insurance</t>
  </si>
  <si>
    <t>Depreciation</t>
  </si>
  <si>
    <t>Travel</t>
  </si>
  <si>
    <t>Supplies</t>
  </si>
  <si>
    <t>Maintenance</t>
  </si>
  <si>
    <t>Total Opex</t>
  </si>
  <si>
    <t>Operating Profit</t>
  </si>
  <si>
    <t>Margin</t>
  </si>
  <si>
    <t>Net Cash</t>
  </si>
  <si>
    <t>Cumulative Cash</t>
  </si>
</sst>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 tabSelected="1">
      <selection activeCell="A1" sqref="A1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>
        <v>175166</v>
      </c>
      <c r="C2">
        <v>192926</v>
      </c>
      <c r="D2">
        <v>166756</v>
      </c>
      <c r="E2">
        <v>164357</v>
      </c>
      <c r="F2">
        <v>172069</v>
      </c>
      <c r="G2">
        <v>196059</v>
      </c>
      <c r="H2">
        <v>100270</v>
      </c>
      <c r="I2">
        <v>101651</v>
      </c>
      <c r="J2">
        <v>199162</v>
      </c>
      <c r="K2">
        <v>151028</v>
      </c>
      <c r="L2">
        <v>145238</v>
      </c>
      <c r="M2">
        <v>109098</v>
      </c>
    </row>
    <row r="3">
      <c r="A3" t="s">
        <v>14</v>
      </c>
      <c r="B3">
        <v>73569</v>
      </c>
      <c r="C3">
        <v>106109</v>
      </c>
      <c r="D3">
        <v>100053</v>
      </c>
      <c r="E3">
        <v>70673</v>
      </c>
      <c r="F3">
        <v>77431</v>
      </c>
      <c r="G3">
        <v>103911</v>
      </c>
      <c r="H3">
        <v>46124</v>
      </c>
      <c r="I3">
        <v>42693</v>
      </c>
      <c r="J3">
        <v>87631</v>
      </c>
      <c r="K3">
        <v>74003</v>
      </c>
      <c r="L3">
        <v>81333</v>
      </c>
      <c r="M3">
        <v>64367</v>
      </c>
    </row>
    <row r="4">
      <c r="A4" t="s">
        <v>15</v>
      </c>
      <c r="B4">
        <f>B2-B3</f>
        <v>101597</v>
      </c>
      <c r="C4">
        <f>C2-C3</f>
        <v>86817</v>
      </c>
      <c r="D4">
        <f>D2-D3</f>
        <v>66703</v>
      </c>
      <c r="E4">
        <f>E2-E3</f>
        <v>93684</v>
      </c>
      <c r="F4">
        <f>F2-F3</f>
        <v>94638</v>
      </c>
      <c r="G4">
        <f>G2-G3</f>
        <v>92148</v>
      </c>
      <c r="H4">
        <f>H2-H3</f>
        <v>54146</v>
      </c>
      <c r="I4">
        <f>I2-I3</f>
        <v>58958</v>
      </c>
      <c r="J4">
        <f>J2-J3</f>
        <v>111531</v>
      </c>
      <c r="K4">
        <f>K2-K3</f>
        <v>77025</v>
      </c>
      <c r="L4">
        <f>L2-L3</f>
        <v>63905</v>
      </c>
      <c r="M4">
        <f>M2-M3</f>
        <v>44731</v>
      </c>
    </row>
    <row r="5">
      <c r="A5" t="s">
        <v>16</v>
      </c>
      <c r="B5">
        <v>4949</v>
      </c>
      <c r="C5">
        <v>9776</v>
      </c>
      <c r="D5">
        <v>4613</v>
      </c>
      <c r="E5">
        <v>5763</v>
      </c>
      <c r="F5">
        <v>2996</v>
      </c>
      <c r="G5">
        <v>4555</v>
      </c>
      <c r="H5">
        <v>4752</v>
      </c>
      <c r="I5">
        <v>11418</v>
      </c>
      <c r="J5">
        <v>7196</v>
      </c>
      <c r="K5">
        <v>2513</v>
      </c>
      <c r="L5">
        <v>2184</v>
      </c>
      <c r="M5">
        <v>4221</v>
      </c>
    </row>
    <row r="6">
      <c r="A6" t="s">
        <v>17</v>
      </c>
      <c r="B6">
        <v>9445</v>
      </c>
      <c r="C6">
        <v>9026</v>
      </c>
      <c r="D6">
        <v>1054</v>
      </c>
      <c r="E6">
        <v>8368</v>
      </c>
      <c r="F6">
        <v>8197</v>
      </c>
      <c r="G6">
        <v>6954</v>
      </c>
      <c r="H6">
        <v>9381</v>
      </c>
      <c r="I6">
        <v>3111</v>
      </c>
      <c r="J6">
        <v>6880</v>
      </c>
      <c r="K6">
        <v>6611</v>
      </c>
      <c r="L6">
        <v>5890</v>
      </c>
      <c r="M6">
        <v>6256</v>
      </c>
    </row>
    <row r="7">
      <c r="A7" t="s">
        <v>18</v>
      </c>
      <c r="B7">
        <v>4524</v>
      </c>
      <c r="C7">
        <v>6008</v>
      </c>
      <c r="D7">
        <v>10583</v>
      </c>
      <c r="E7">
        <v>3134</v>
      </c>
      <c r="F7">
        <v>2507</v>
      </c>
      <c r="G7">
        <v>5202</v>
      </c>
      <c r="H7">
        <v>4236</v>
      </c>
      <c r="I7">
        <v>6138</v>
      </c>
      <c r="J7">
        <v>2972</v>
      </c>
      <c r="K7">
        <v>8189</v>
      </c>
      <c r="L7">
        <v>6258</v>
      </c>
      <c r="M7">
        <v>1650</v>
      </c>
    </row>
    <row r="8">
      <c r="A8" t="s">
        <v>19</v>
      </c>
      <c r="B8">
        <v>2036</v>
      </c>
      <c r="C8">
        <v>8522</v>
      </c>
      <c r="D8">
        <v>8020</v>
      </c>
      <c r="E8">
        <v>11301</v>
      </c>
      <c r="F8">
        <v>10210</v>
      </c>
      <c r="G8">
        <v>3758</v>
      </c>
      <c r="H8">
        <v>5166</v>
      </c>
      <c r="I8">
        <v>11271</v>
      </c>
      <c r="J8">
        <v>5658</v>
      </c>
      <c r="K8">
        <v>8209</v>
      </c>
      <c r="L8">
        <v>6696</v>
      </c>
      <c r="M8">
        <v>6276</v>
      </c>
    </row>
    <row r="9">
      <c r="A9" t="s">
        <v>20</v>
      </c>
      <c r="B9">
        <v>10722</v>
      </c>
      <c r="C9">
        <v>10983</v>
      </c>
      <c r="D9">
        <v>10552</v>
      </c>
      <c r="E9">
        <v>4979</v>
      </c>
      <c r="F9">
        <v>8023</v>
      </c>
      <c r="G9">
        <v>1342</v>
      </c>
      <c r="H9">
        <v>2664</v>
      </c>
      <c r="I9">
        <v>3968</v>
      </c>
      <c r="J9">
        <v>6769</v>
      </c>
      <c r="K9">
        <v>2350</v>
      </c>
      <c r="L9">
        <v>5901</v>
      </c>
      <c r="M9">
        <v>10578</v>
      </c>
    </row>
    <row r="10">
      <c r="A10" t="s">
        <v>21</v>
      </c>
      <c r="B10">
        <v>5950</v>
      </c>
      <c r="C10">
        <v>8444</v>
      </c>
      <c r="D10">
        <v>5479</v>
      </c>
      <c r="E10">
        <v>3862</v>
      </c>
      <c r="F10">
        <v>11877</v>
      </c>
      <c r="G10">
        <v>1470</v>
      </c>
      <c r="H10">
        <v>3367</v>
      </c>
      <c r="I10">
        <v>7234</v>
      </c>
      <c r="J10">
        <v>7787</v>
      </c>
      <c r="K10">
        <v>1513</v>
      </c>
      <c r="L10">
        <v>7320</v>
      </c>
      <c r="M10">
        <v>6747</v>
      </c>
    </row>
    <row r="11">
      <c r="A11" t="s">
        <v>22</v>
      </c>
      <c r="B11">
        <v>11646</v>
      </c>
      <c r="C11">
        <v>7238</v>
      </c>
      <c r="D11">
        <v>7876</v>
      </c>
      <c r="E11">
        <v>9144</v>
      </c>
      <c r="F11">
        <v>9111</v>
      </c>
      <c r="G11">
        <v>3082</v>
      </c>
      <c r="H11">
        <v>5432</v>
      </c>
      <c r="I11">
        <v>10902</v>
      </c>
      <c r="J11">
        <v>7078</v>
      </c>
      <c r="K11">
        <v>8235</v>
      </c>
      <c r="L11">
        <v>7715</v>
      </c>
      <c r="M11">
        <v>8111</v>
      </c>
    </row>
    <row r="12">
      <c r="A12" t="s">
        <v>23</v>
      </c>
      <c r="B12">
        <v>1284</v>
      </c>
      <c r="C12">
        <v>8691</v>
      </c>
      <c r="D12">
        <v>9859</v>
      </c>
      <c r="E12">
        <v>11609</v>
      </c>
      <c r="F12">
        <v>9552</v>
      </c>
      <c r="G12">
        <v>10540</v>
      </c>
      <c r="H12">
        <v>4273</v>
      </c>
      <c r="I12">
        <v>9442</v>
      </c>
      <c r="J12">
        <v>4239</v>
      </c>
      <c r="K12">
        <v>1543</v>
      </c>
      <c r="L12">
        <v>4008</v>
      </c>
      <c r="M12">
        <v>9610</v>
      </c>
    </row>
    <row r="13">
      <c r="A13" t="s">
        <v>24</v>
      </c>
      <c r="B13">
        <v>10664</v>
      </c>
      <c r="C13">
        <v>1863</v>
      </c>
      <c r="D13">
        <v>4538</v>
      </c>
      <c r="E13">
        <v>6158</v>
      </c>
      <c r="F13">
        <v>2480</v>
      </c>
      <c r="G13">
        <v>1873</v>
      </c>
      <c r="H13">
        <v>3006</v>
      </c>
      <c r="I13">
        <v>7362</v>
      </c>
      <c r="J13">
        <v>4105</v>
      </c>
      <c r="K13">
        <v>11871</v>
      </c>
      <c r="L13">
        <v>4791</v>
      </c>
      <c r="M13">
        <v>10266</v>
      </c>
    </row>
    <row r="14">
      <c r="A14" t="s">
        <v>25</v>
      </c>
      <c r="B14">
        <f>SUM(B5:B13)</f>
        <v>61220</v>
      </c>
      <c r="C14">
        <f>SUM(C5:C13)</f>
        <v>70551</v>
      </c>
      <c r="D14">
        <f>SUM(D5:D13)</f>
        <v>62574</v>
      </c>
      <c r="E14">
        <f>SUM(E5:E13)</f>
        <v>64318</v>
      </c>
      <c r="F14">
        <f>SUM(F5:F13)</f>
        <v>64953</v>
      </c>
      <c r="G14">
        <f>SUM(G5:G13)</f>
        <v>38776</v>
      </c>
      <c r="H14">
        <f>SUM(H5:H13)</f>
        <v>42277</v>
      </c>
      <c r="I14">
        <f>SUM(I5:I13)</f>
        <v>70846</v>
      </c>
      <c r="J14">
        <f>SUM(J5:J13)</f>
        <v>52684</v>
      </c>
      <c r="K14">
        <f>SUM(K5:K13)</f>
        <v>51034</v>
      </c>
      <c r="L14">
        <f>SUM(L5:L13)</f>
        <v>50763</v>
      </c>
      <c r="M14">
        <f>SUM(M5:M13)</f>
        <v>63715</v>
      </c>
    </row>
    <row r="15">
      <c r="A15" t="s">
        <v>26</v>
      </c>
      <c r="B15">
        <f>B4-B14</f>
        <v>40377</v>
      </c>
      <c r="C15">
        <f>C4-C14</f>
        <v>16266</v>
      </c>
      <c r="D15">
        <f>D4-D14</f>
        <v>4129</v>
      </c>
      <c r="E15">
        <f>E4-E14</f>
        <v>29366</v>
      </c>
      <c r="F15">
        <f>F4-F14</f>
        <v>29685</v>
      </c>
      <c r="G15">
        <f>G4-G14</f>
        <v>53372</v>
      </c>
      <c r="H15">
        <f>H4-H14</f>
        <v>11869</v>
      </c>
      <c r="I15">
        <f>I4-I14</f>
        <v>-11888</v>
      </c>
      <c r="J15">
        <f>J4-J14</f>
        <v>58847</v>
      </c>
      <c r="K15">
        <f>K4-K14</f>
        <v>25991</v>
      </c>
      <c r="L15">
        <f>L4-L14</f>
        <v>13142</v>
      </c>
      <c r="M15">
        <f>M4-M14</f>
        <v>-18984</v>
      </c>
    </row>
    <row r="16">
      <c r="A16" t="s">
        <v>27</v>
      </c>
      <c r="B16">
        <f>B15/B2</f>
        <v>0.23050706187273787</v>
      </c>
      <c r="C16">
        <f>C15/C2</f>
        <v>0.08431211967282792</v>
      </c>
      <c r="D16">
        <f>D15/D2</f>
        <v>0.024760728249658182</v>
      </c>
      <c r="E16">
        <f>E15/E2</f>
        <v>0.17867203708999313</v>
      </c>
      <c r="F16">
        <f>F15/F2</f>
        <v>0.1725180014993985</v>
      </c>
      <c r="G16">
        <f>G15/G2</f>
        <v>0.2722241774159819</v>
      </c>
      <c r="H16">
        <f>H15/H2</f>
        <v>0.11837039992021542</v>
      </c>
      <c r="I16">
        <f>I15/I2</f>
        <v>-0.11694916921623988</v>
      </c>
      <c r="J16">
        <f>J15/J2</f>
        <v>0.2954730320040972</v>
      </c>
      <c r="K16">
        <f>K15/K2</f>
        <v>0.17209391635988028</v>
      </c>
      <c r="L16">
        <f>L15/L2</f>
        <v>0.09048596097440063</v>
      </c>
      <c r="M16">
        <f>M15/M2</f>
        <v>-0.17400868943518671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>
      <selection activeCell="A1" sqref="A1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>
        <v>190464</v>
      </c>
      <c r="C2">
        <v>129721</v>
      </c>
      <c r="D2">
        <v>145218</v>
      </c>
      <c r="E2">
        <v>108436</v>
      </c>
      <c r="F2">
        <v>88774</v>
      </c>
      <c r="G2">
        <v>195555</v>
      </c>
      <c r="H2">
        <v>101270</v>
      </c>
      <c r="I2">
        <v>89027</v>
      </c>
      <c r="J2">
        <v>153709</v>
      </c>
      <c r="K2">
        <v>169223</v>
      </c>
      <c r="L2">
        <v>147479</v>
      </c>
      <c r="M2">
        <v>145714</v>
      </c>
    </row>
    <row r="3">
      <c r="A3" t="s">
        <v>14</v>
      </c>
      <c r="B3">
        <v>114278</v>
      </c>
      <c r="C3">
        <v>75238</v>
      </c>
      <c r="D3">
        <v>69704</v>
      </c>
      <c r="E3">
        <v>48796</v>
      </c>
      <c r="F3">
        <v>44387</v>
      </c>
      <c r="G3">
        <v>82133</v>
      </c>
      <c r="H3">
        <v>54685</v>
      </c>
      <c r="I3">
        <v>48964</v>
      </c>
      <c r="J3">
        <v>66094</v>
      </c>
      <c r="K3">
        <v>76150</v>
      </c>
      <c r="L3">
        <v>63415</v>
      </c>
      <c r="M3">
        <v>80142</v>
      </c>
    </row>
    <row r="4">
      <c r="A4" t="s">
        <v>15</v>
      </c>
      <c r="B4">
        <f>B2-B3</f>
        <v>76186</v>
      </c>
      <c r="C4">
        <f>C2-C3</f>
        <v>54483</v>
      </c>
      <c r="D4">
        <f>D2-D3</f>
        <v>75514</v>
      </c>
      <c r="E4">
        <f>E2-E3</f>
        <v>59640</v>
      </c>
      <c r="F4">
        <f>F2-F3</f>
        <v>44387</v>
      </c>
      <c r="G4">
        <f>G2-G3</f>
        <v>113422</v>
      </c>
      <c r="H4">
        <f>H2-H3</f>
        <v>46585</v>
      </c>
      <c r="I4">
        <f>I2-I3</f>
        <v>40063</v>
      </c>
      <c r="J4">
        <f>J2-J3</f>
        <v>87615</v>
      </c>
      <c r="K4">
        <f>K2-K3</f>
        <v>93073</v>
      </c>
      <c r="L4">
        <f>L2-L3</f>
        <v>84064</v>
      </c>
      <c r="M4">
        <f>M2-M3</f>
        <v>65572</v>
      </c>
    </row>
    <row r="5">
      <c r="A5" t="s">
        <v>16</v>
      </c>
      <c r="B5">
        <v>4378</v>
      </c>
      <c r="C5">
        <v>5561</v>
      </c>
      <c r="D5">
        <v>7448</v>
      </c>
      <c r="E5">
        <v>9286</v>
      </c>
      <c r="F5">
        <v>10811</v>
      </c>
      <c r="G5">
        <v>3901</v>
      </c>
      <c r="H5">
        <v>9092</v>
      </c>
      <c r="I5">
        <v>4624</v>
      </c>
      <c r="J5">
        <v>4864</v>
      </c>
      <c r="K5">
        <v>1139</v>
      </c>
      <c r="L5">
        <v>5013</v>
      </c>
      <c r="M5">
        <v>9322</v>
      </c>
    </row>
    <row r="6">
      <c r="A6" t="s">
        <v>17</v>
      </c>
      <c r="B6">
        <v>6604</v>
      </c>
      <c r="C6">
        <v>8972</v>
      </c>
      <c r="D6">
        <v>1191</v>
      </c>
      <c r="E6">
        <v>4220</v>
      </c>
      <c r="F6">
        <v>3539</v>
      </c>
      <c r="G6">
        <v>1277</v>
      </c>
      <c r="H6">
        <v>8911</v>
      </c>
      <c r="I6">
        <v>10364</v>
      </c>
      <c r="J6">
        <v>7574</v>
      </c>
      <c r="K6">
        <v>9782</v>
      </c>
      <c r="L6">
        <v>11932</v>
      </c>
      <c r="M6">
        <v>1307</v>
      </c>
    </row>
    <row r="7">
      <c r="A7" t="s">
        <v>18</v>
      </c>
      <c r="B7">
        <v>7638</v>
      </c>
      <c r="C7">
        <v>11977</v>
      </c>
      <c r="D7">
        <v>7671</v>
      </c>
      <c r="E7">
        <v>6677</v>
      </c>
      <c r="F7">
        <v>3306</v>
      </c>
      <c r="G7">
        <v>9689</v>
      </c>
      <c r="H7">
        <v>10569</v>
      </c>
      <c r="I7">
        <v>10402</v>
      </c>
      <c r="J7">
        <v>10184</v>
      </c>
      <c r="K7">
        <v>6090</v>
      </c>
      <c r="L7">
        <v>2253</v>
      </c>
      <c r="M7">
        <v>5449</v>
      </c>
    </row>
    <row r="8">
      <c r="A8" t="s">
        <v>19</v>
      </c>
      <c r="B8">
        <v>4755</v>
      </c>
      <c r="C8">
        <v>4432</v>
      </c>
      <c r="D8">
        <v>2986</v>
      </c>
      <c r="E8">
        <v>7161</v>
      </c>
      <c r="F8">
        <v>5405</v>
      </c>
      <c r="G8">
        <v>2160</v>
      </c>
      <c r="H8">
        <v>8402</v>
      </c>
      <c r="I8">
        <v>9379</v>
      </c>
      <c r="J8">
        <v>1177</v>
      </c>
      <c r="K8">
        <v>9000</v>
      </c>
      <c r="L8">
        <v>7226</v>
      </c>
      <c r="M8">
        <v>10071</v>
      </c>
    </row>
    <row r="9">
      <c r="A9" t="s">
        <v>20</v>
      </c>
      <c r="B9">
        <v>6699</v>
      </c>
      <c r="C9">
        <v>7783</v>
      </c>
      <c r="D9">
        <v>6811</v>
      </c>
      <c r="E9">
        <v>4670</v>
      </c>
      <c r="F9">
        <v>4784</v>
      </c>
      <c r="G9">
        <v>5466</v>
      </c>
      <c r="H9">
        <v>10563</v>
      </c>
      <c r="I9">
        <v>9146</v>
      </c>
      <c r="J9">
        <v>6855</v>
      </c>
      <c r="K9">
        <v>7405</v>
      </c>
      <c r="L9">
        <v>10318</v>
      </c>
      <c r="M9">
        <v>4335</v>
      </c>
    </row>
    <row r="10">
      <c r="A10" t="s">
        <v>21</v>
      </c>
      <c r="B10">
        <v>7467</v>
      </c>
      <c r="C10">
        <v>8687</v>
      </c>
      <c r="D10">
        <v>9782</v>
      </c>
      <c r="E10">
        <v>7988</v>
      </c>
      <c r="F10">
        <v>7907</v>
      </c>
      <c r="G10">
        <v>4793</v>
      </c>
      <c r="H10">
        <v>2174</v>
      </c>
      <c r="I10">
        <v>7066</v>
      </c>
      <c r="J10">
        <v>11862</v>
      </c>
      <c r="K10">
        <v>11896</v>
      </c>
      <c r="L10">
        <v>1938</v>
      </c>
      <c r="M10">
        <v>1096</v>
      </c>
    </row>
    <row r="11">
      <c r="A11" t="s">
        <v>22</v>
      </c>
      <c r="B11">
        <v>10005</v>
      </c>
      <c r="C11">
        <v>5669</v>
      </c>
      <c r="D11">
        <v>3625</v>
      </c>
      <c r="E11">
        <v>1959</v>
      </c>
      <c r="F11">
        <v>6197</v>
      </c>
      <c r="G11">
        <v>10073</v>
      </c>
      <c r="H11">
        <v>4040</v>
      </c>
      <c r="I11">
        <v>10261</v>
      </c>
      <c r="J11">
        <v>11369</v>
      </c>
      <c r="K11">
        <v>6671</v>
      </c>
      <c r="L11">
        <v>9187</v>
      </c>
      <c r="M11">
        <v>8750</v>
      </c>
    </row>
    <row r="12">
      <c r="A12" t="s">
        <v>23</v>
      </c>
      <c r="B12">
        <v>6210</v>
      </c>
      <c r="C12">
        <v>3312</v>
      </c>
      <c r="D12">
        <v>8303</v>
      </c>
      <c r="E12">
        <v>1611</v>
      </c>
      <c r="F12">
        <v>2871</v>
      </c>
      <c r="G12">
        <v>5793</v>
      </c>
      <c r="H12">
        <v>8547</v>
      </c>
      <c r="I12">
        <v>2523</v>
      </c>
      <c r="J12">
        <v>8036</v>
      </c>
      <c r="K12">
        <v>8905</v>
      </c>
      <c r="L12">
        <v>8577</v>
      </c>
      <c r="M12">
        <v>9578</v>
      </c>
    </row>
    <row r="13">
      <c r="A13" t="s">
        <v>24</v>
      </c>
      <c r="B13">
        <v>8627</v>
      </c>
      <c r="C13">
        <v>10375</v>
      </c>
      <c r="D13">
        <v>9120</v>
      </c>
      <c r="E13">
        <v>11232</v>
      </c>
      <c r="F13">
        <v>8792</v>
      </c>
      <c r="G13">
        <v>5584</v>
      </c>
      <c r="H13">
        <v>2127</v>
      </c>
      <c r="I13">
        <v>1608</v>
      </c>
      <c r="J13">
        <v>11624</v>
      </c>
      <c r="K13">
        <v>6096</v>
      </c>
      <c r="L13">
        <v>7342</v>
      </c>
      <c r="M13">
        <v>9518</v>
      </c>
    </row>
    <row r="14">
      <c r="A14" t="s">
        <v>25</v>
      </c>
      <c r="B14">
        <f>SUM(B5:B13)</f>
        <v>62383</v>
      </c>
      <c r="C14">
        <f>SUM(C5:C12)</f>
        <v>56393</v>
      </c>
      <c r="D14">
        <f>SUM(D5:D13)</f>
        <v>56937</v>
      </c>
      <c r="E14">
        <f>SUM(E5:E13)</f>
        <v>54804</v>
      </c>
      <c r="F14">
        <f>SUM(F5:F13)</f>
        <v>53612</v>
      </c>
      <c r="G14">
        <f>SUM(G5:G13)</f>
        <v>48736</v>
      </c>
      <c r="H14">
        <f>SUM(H5:H13)</f>
        <v>64425</v>
      </c>
      <c r="I14">
        <f>SUM(I5:I13)</f>
        <v>65373</v>
      </c>
      <c r="J14">
        <f>SUM(J5:J13)</f>
        <v>73545</v>
      </c>
      <c r="K14">
        <f>SUM(K5:K13)</f>
        <v>66984</v>
      </c>
      <c r="L14">
        <f>SUM(L5:L13)</f>
        <v>63786</v>
      </c>
      <c r="M14">
        <f>SUM(M5:M13)</f>
        <v>59426</v>
      </c>
    </row>
    <row r="15">
      <c r="A15" t="s">
        <v>26</v>
      </c>
      <c r="B15">
        <f>B4-B14</f>
        <v>13803</v>
      </c>
      <c r="C15">
        <f>C4-C14</f>
        <v>-1910</v>
      </c>
      <c r="D15">
        <f>D4-D14</f>
        <v>18577</v>
      </c>
      <c r="E15">
        <f>E4-E14</f>
        <v>4836</v>
      </c>
      <c r="F15">
        <f>F4-F14</f>
        <v>-9225</v>
      </c>
      <c r="G15">
        <f>G4-G14</f>
        <v>64686</v>
      </c>
      <c r="H15">
        <f>H4-H14</f>
        <v>-17840</v>
      </c>
      <c r="I15">
        <f>I4-I14</f>
        <v>-25310</v>
      </c>
      <c r="J15">
        <f>J4-J14</f>
        <v>14070</v>
      </c>
      <c r="K15">
        <f>K4-K14</f>
        <v>26089</v>
      </c>
      <c r="L15">
        <f>L4-L14</f>
        <v>20278</v>
      </c>
      <c r="M15">
        <f>M4-M14</f>
        <v>6146</v>
      </c>
    </row>
    <row r="16">
      <c r="A16" t="s">
        <v>27</v>
      </c>
      <c r="B16">
        <f>B15/B2</f>
        <v>0.0724703881048387</v>
      </c>
      <c r="C16">
        <f>C15/C2</f>
        <v>-0.014723907462939693</v>
      </c>
      <c r="D16">
        <f>D15/D2</f>
        <v>0.12792491288958668</v>
      </c>
      <c r="E16">
        <f>E15/E2</f>
        <v>0.0445977350695341</v>
      </c>
      <c r="F16">
        <f>F15/F2</f>
        <v>-0.10391556086241467</v>
      </c>
      <c r="G16">
        <f>G15/G2</f>
        <v>0.33078162153869756</v>
      </c>
      <c r="H16">
        <f>H15/H2</f>
        <v>-0.1761627332872519</v>
      </c>
      <c r="I16">
        <f>I15/I2</f>
        <v>-0.28429577543891177</v>
      </c>
      <c r="J16">
        <f>J15/J2</f>
        <v>0.09153660488325342</v>
      </c>
      <c r="K16">
        <f>K15/K2</f>
        <v>0.1541693505020003</v>
      </c>
      <c r="L16">
        <f>L15/L2</f>
        <v>0.13749754202293207</v>
      </c>
      <c r="M16">
        <f>M15/M2</f>
        <v>0.042178514075517794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>
      <selection activeCell="A1" sqref="A1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>
        <v>120094</v>
      </c>
      <c r="C2">
        <v>168165</v>
      </c>
      <c r="D2">
        <v>175659</v>
      </c>
      <c r="E2">
        <v>159121</v>
      </c>
      <c r="F2">
        <v>102704</v>
      </c>
      <c r="G2">
        <v>142915</v>
      </c>
      <c r="H2">
        <v>0</v>
      </c>
      <c r="I2">
        <v>159863</v>
      </c>
      <c r="J2">
        <v>195337</v>
      </c>
      <c r="K2">
        <v>117945</v>
      </c>
      <c r="L2">
        <v>146719</v>
      </c>
      <c r="M2">
        <v>106740</v>
      </c>
    </row>
    <row r="3">
      <c r="A3" t="s">
        <v>14</v>
      </c>
      <c r="B3">
        <v>61247</v>
      </c>
      <c r="C3">
        <v>75674</v>
      </c>
      <c r="D3">
        <v>101882</v>
      </c>
      <c r="E3">
        <v>90698</v>
      </c>
      <c r="F3">
        <v>54433</v>
      </c>
      <c r="G3">
        <v>71457</v>
      </c>
      <c r="H3">
        <v>0</v>
      </c>
      <c r="I3">
        <v>86326</v>
      </c>
      <c r="J3">
        <v>107435</v>
      </c>
      <c r="K3">
        <v>56613</v>
      </c>
      <c r="L3">
        <v>86564</v>
      </c>
      <c r="M3">
        <v>50167</v>
      </c>
    </row>
    <row r="4">
      <c r="A4" t="s">
        <v>15</v>
      </c>
      <c r="B4">
        <f>B2-B3</f>
        <v>58847</v>
      </c>
      <c r="C4">
        <f>C2-C3</f>
        <v>92491</v>
      </c>
      <c r="D4">
        <f>D2-D3</f>
        <v>73777</v>
      </c>
      <c r="E4">
        <f>E2-E3</f>
        <v>68423</v>
      </c>
      <c r="F4">
        <f>F2-F3</f>
        <v>48271</v>
      </c>
      <c r="G4">
        <f>G2-G3</f>
        <v>71458</v>
      </c>
      <c r="H4">
        <f>H2-H3</f>
        <v>0</v>
      </c>
      <c r="I4">
        <f>I2-I3</f>
        <v>73537</v>
      </c>
      <c r="J4">
        <f>J2-J3</f>
        <v>87902</v>
      </c>
      <c r="K4">
        <f>K2-K3</f>
        <v>61332</v>
      </c>
      <c r="L4">
        <f>L2-L3</f>
        <v>60155</v>
      </c>
      <c r="M4">
        <f>M2-M3</f>
        <v>56573</v>
      </c>
    </row>
    <row r="5">
      <c r="A5" t="s">
        <v>16</v>
      </c>
      <c r="B5">
        <v>11412</v>
      </c>
      <c r="C5">
        <v>9684</v>
      </c>
      <c r="D5">
        <v>5443</v>
      </c>
      <c r="E5">
        <v>8806</v>
      </c>
      <c r="F5">
        <v>3152</v>
      </c>
      <c r="G5">
        <v>10639</v>
      </c>
      <c r="H5">
        <v>7672</v>
      </c>
      <c r="I5">
        <v>8507</v>
      </c>
      <c r="J5">
        <v>3228</v>
      </c>
      <c r="K5">
        <v>2831</v>
      </c>
      <c r="L5">
        <v>1552</v>
      </c>
      <c r="M5">
        <v>1739</v>
      </c>
    </row>
    <row r="6">
      <c r="A6" t="s">
        <v>17</v>
      </c>
      <c r="B6">
        <v>4133</v>
      </c>
      <c r="C6">
        <v>4461</v>
      </c>
      <c r="D6">
        <v>9937</v>
      </c>
      <c r="E6">
        <v>7650</v>
      </c>
      <c r="F6">
        <v>10662</v>
      </c>
      <c r="G6">
        <v>6247</v>
      </c>
      <c r="H6">
        <v>8002</v>
      </c>
      <c r="I6">
        <v>2643</v>
      </c>
      <c r="J6">
        <v>7323</v>
      </c>
      <c r="K6">
        <v>2168</v>
      </c>
      <c r="L6">
        <v>2977</v>
      </c>
      <c r="M6">
        <v>10346</v>
      </c>
    </row>
    <row r="7">
      <c r="A7" t="s">
        <v>18</v>
      </c>
      <c r="B7">
        <v>4987</v>
      </c>
      <c r="C7">
        <v>11138</v>
      </c>
      <c r="D7">
        <v>7232</v>
      </c>
      <c r="E7">
        <v>11128</v>
      </c>
      <c r="F7">
        <v>2901</v>
      </c>
      <c r="G7">
        <v>4153</v>
      </c>
      <c r="H7">
        <v>6851</v>
      </c>
      <c r="I7">
        <v>9020</v>
      </c>
      <c r="J7">
        <v>4007</v>
      </c>
      <c r="K7">
        <v>5756</v>
      </c>
      <c r="L7">
        <v>4593</v>
      </c>
      <c r="M7">
        <v>6229</v>
      </c>
    </row>
    <row r="8">
      <c r="A8" t="s">
        <v>19</v>
      </c>
      <c r="B8">
        <v>5772</v>
      </c>
      <c r="C8">
        <v>10666</v>
      </c>
      <c r="D8">
        <v>8643</v>
      </c>
      <c r="E8">
        <v>3783</v>
      </c>
      <c r="F8">
        <v>4798</v>
      </c>
      <c r="G8">
        <v>4099</v>
      </c>
      <c r="H8">
        <v>7575</v>
      </c>
      <c r="I8">
        <v>9457</v>
      </c>
      <c r="J8">
        <v>5389</v>
      </c>
      <c r="K8">
        <v>2480</v>
      </c>
      <c r="L8">
        <v>10958</v>
      </c>
      <c r="M8">
        <v>10176</v>
      </c>
    </row>
    <row r="9">
      <c r="A9" t="s">
        <v>20</v>
      </c>
      <c r="B9">
        <v>4165</v>
      </c>
      <c r="C9">
        <v>11985</v>
      </c>
      <c r="D9">
        <v>10940</v>
      </c>
      <c r="E9">
        <v>5224</v>
      </c>
      <c r="F9">
        <v>6213</v>
      </c>
      <c r="G9">
        <v>2313</v>
      </c>
      <c r="H9">
        <v>7325</v>
      </c>
      <c r="I9">
        <v>3910</v>
      </c>
      <c r="J9">
        <v>3302</v>
      </c>
      <c r="K9">
        <v>8846</v>
      </c>
      <c r="L9">
        <v>10164</v>
      </c>
      <c r="M9">
        <v>5365</v>
      </c>
    </row>
    <row r="10">
      <c r="A10" t="s">
        <v>21</v>
      </c>
      <c r="B10">
        <v>7244</v>
      </c>
      <c r="C10">
        <v>8531</v>
      </c>
      <c r="D10">
        <v>10769</v>
      </c>
      <c r="E10">
        <v>11500</v>
      </c>
      <c r="F10">
        <v>1031</v>
      </c>
      <c r="G10">
        <v>10569</v>
      </c>
      <c r="H10">
        <v>2839</v>
      </c>
      <c r="I10">
        <v>3038</v>
      </c>
      <c r="J10">
        <v>4837</v>
      </c>
      <c r="K10">
        <v>4927</v>
      </c>
      <c r="L10">
        <v>4644</v>
      </c>
      <c r="M10">
        <v>4015</v>
      </c>
    </row>
    <row r="11">
      <c r="A11" t="s">
        <v>22</v>
      </c>
      <c r="B11">
        <v>1828</v>
      </c>
      <c r="C11">
        <v>10696</v>
      </c>
      <c r="D11">
        <v>8234</v>
      </c>
      <c r="E11">
        <v>3063</v>
      </c>
      <c r="F11">
        <v>5636</v>
      </c>
      <c r="G11">
        <v>7981</v>
      </c>
      <c r="H11">
        <v>1007</v>
      </c>
      <c r="I11">
        <v>10626</v>
      </c>
      <c r="J11">
        <v>11794</v>
      </c>
      <c r="K11">
        <v>11816</v>
      </c>
      <c r="L11">
        <v>10643</v>
      </c>
      <c r="M11">
        <v>10816</v>
      </c>
    </row>
    <row r="12">
      <c r="A12" t="s">
        <v>23</v>
      </c>
      <c r="B12">
        <v>1925</v>
      </c>
      <c r="C12">
        <v>11885</v>
      </c>
      <c r="D12">
        <v>2980</v>
      </c>
      <c r="E12">
        <v>1570</v>
      </c>
      <c r="F12">
        <v>10075</v>
      </c>
      <c r="G12">
        <v>7405</v>
      </c>
      <c r="H12">
        <v>11605</v>
      </c>
      <c r="I12">
        <v>10451</v>
      </c>
      <c r="J12">
        <v>8106</v>
      </c>
      <c r="K12">
        <v>3868</v>
      </c>
      <c r="L12">
        <v>4540</v>
      </c>
      <c r="M12">
        <v>2994</v>
      </c>
    </row>
    <row r="13">
      <c r="A13" t="s">
        <v>24</v>
      </c>
      <c r="B13">
        <v>10975</v>
      </c>
      <c r="C13">
        <v>10969</v>
      </c>
      <c r="D13">
        <v>7247</v>
      </c>
      <c r="E13">
        <v>9991</v>
      </c>
      <c r="F13">
        <v>1682</v>
      </c>
      <c r="G13">
        <v>1325</v>
      </c>
      <c r="H13">
        <v>7463</v>
      </c>
      <c r="I13">
        <v>9183</v>
      </c>
      <c r="J13">
        <v>9248</v>
      </c>
      <c r="K13">
        <v>7194</v>
      </c>
      <c r="L13">
        <v>5619</v>
      </c>
      <c r="M13">
        <v>3071</v>
      </c>
    </row>
    <row r="14">
      <c r="A14" t="s">
        <v>25</v>
      </c>
      <c r="B14">
        <f>SUM(B5:B13)</f>
        <v>52441</v>
      </c>
      <c r="C14">
        <f>SUM(C5:C13)</f>
        <v>90015</v>
      </c>
      <c r="D14">
        <f>SUM(D5:D13)</f>
        <v>71425</v>
      </c>
      <c r="E14">
        <f>SUM(E5:E13)</f>
        <v>62715</v>
      </c>
      <c r="F14">
        <f>SUM(F5:F13)</f>
        <v>46150</v>
      </c>
      <c r="G14">
        <f>SUM(G5:G13)</f>
        <v>54731</v>
      </c>
      <c r="H14">
        <f>SUM(H5:H13)</f>
        <v>60339</v>
      </c>
      <c r="I14">
        <f>SUM(I5:I13)</f>
        <v>66835</v>
      </c>
      <c r="J14">
        <f>SUM(J5:J13)</f>
        <v>57234</v>
      </c>
      <c r="K14">
        <f>SUM(K5:K13)</f>
        <v>49886</v>
      </c>
      <c r="L14">
        <f>SUM(L5:L13)</f>
        <v>55690</v>
      </c>
      <c r="M14">
        <f>SUM(M5:M13)</f>
        <v>54751</v>
      </c>
    </row>
    <row r="15">
      <c r="A15" t="s">
        <v>26</v>
      </c>
      <c r="B15">
        <f>B4-B14</f>
        <v>6406</v>
      </c>
      <c r="C15">
        <f>C4-C14</f>
        <v>2476</v>
      </c>
      <c r="D15">
        <f>D4-D14</f>
        <v>2352</v>
      </c>
      <c r="E15">
        <f>E4-E14</f>
        <v>5708</v>
      </c>
      <c r="F15">
        <f>F4-F14</f>
        <v>2121</v>
      </c>
      <c r="G15">
        <f>G4-G14</f>
        <v>16727</v>
      </c>
      <c r="H15">
        <f>H4-H14</f>
        <v>-60339</v>
      </c>
      <c r="I15">
        <f>I4-I14</f>
        <v>6702</v>
      </c>
      <c r="J15">
        <f>J4-J14</f>
        <v>30668</v>
      </c>
      <c r="K15">
        <f>K4-K14</f>
        <v>11446</v>
      </c>
      <c r="L15">
        <f>L4-L14</f>
        <v>4465</v>
      </c>
      <c r="M15">
        <f>M4-M14</f>
        <v>1822</v>
      </c>
    </row>
    <row r="16">
      <c r="A16" t="s">
        <v>27</v>
      </c>
      <c r="B16">
        <f>B15/B2</f>
        <v>0.05334154911985611</v>
      </c>
      <c r="C16">
        <f>C15/C2</f>
        <v>0.014723634525614723</v>
      </c>
      <c r="D16">
        <f>D15/D2</f>
        <v>0.013389578672313973</v>
      </c>
      <c r="E16">
        <f>E15/E2</f>
        <v>0.03587207219663024</v>
      </c>
      <c r="F16">
        <f>F15/F2</f>
        <v>0.020651581243184298</v>
      </c>
      <c r="G16">
        <f>G15/G2</f>
        <v>0.11704159815274813</v>
      </c>
      <c r="H16" t="e">
        <f>H15/H2</f>
        <v>#DIV/0!</v>
      </c>
      <c r="I16">
        <f>I15/I2</f>
        <v>0.04192339690860299</v>
      </c>
      <c r="J16">
        <f>J15/J2</f>
        <v>0.15700046586156233</v>
      </c>
      <c r="K16">
        <f>K15/K2</f>
        <v>0.0970452329475603</v>
      </c>
      <c r="L16">
        <f>L15/L2</f>
        <v>0.030432323012016167</v>
      </c>
      <c r="M16">
        <f>M15/M2</f>
        <v>0.017069514708637813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>
      <selection activeCell="A1" sqref="A1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>
        <v>86628</v>
      </c>
      <c r="C2">
        <v>193369</v>
      </c>
      <c r="D2">
        <v>185954</v>
      </c>
      <c r="E2">
        <v>192390</v>
      </c>
      <c r="F2">
        <v>84624</v>
      </c>
      <c r="G2">
        <v>147667</v>
      </c>
      <c r="H2">
        <v>155630</v>
      </c>
      <c r="I2">
        <v>126214</v>
      </c>
      <c r="J2">
        <v>153647</v>
      </c>
      <c r="K2">
        <v>155375</v>
      </c>
      <c r="L2">
        <v>91928</v>
      </c>
      <c r="M2">
        <v>111675</v>
      </c>
    </row>
    <row r="3">
      <c r="A3" t="s">
        <v>14</v>
      </c>
      <c r="B3">
        <v>45912</v>
      </c>
      <c r="C3">
        <v>94750</v>
      </c>
      <c r="D3">
        <v>94836</v>
      </c>
      <c r="E3">
        <v>107738</v>
      </c>
      <c r="F3">
        <v>38080</v>
      </c>
      <c r="G3">
        <v>72356</v>
      </c>
      <c r="H3">
        <v>80927</v>
      </c>
      <c r="I3">
        <v>53009</v>
      </c>
      <c r="J3">
        <v>92188</v>
      </c>
      <c r="K3">
        <v>93225</v>
      </c>
      <c r="L3">
        <v>50560</v>
      </c>
      <c r="M3">
        <v>59187</v>
      </c>
    </row>
    <row r="4">
      <c r="A4" t="s">
        <v>15</v>
      </c>
      <c r="B4">
        <f>B2-B3</f>
        <v>40716</v>
      </c>
      <c r="C4">
        <f>C2-C3</f>
        <v>98619</v>
      </c>
      <c r="D4">
        <f>D2-D3</f>
        <v>91118</v>
      </c>
      <c r="E4">
        <f>E2-E3</f>
        <v>84652</v>
      </c>
      <c r="F4">
        <f>F2-F3</f>
        <v>46544</v>
      </c>
      <c r="G4">
        <f>G2-G3</f>
        <v>75311</v>
      </c>
      <c r="H4">
        <f>H2-H3</f>
        <v>74703</v>
      </c>
      <c r="I4">
        <f>I2-I3</f>
        <v>73205</v>
      </c>
      <c r="J4">
        <f>J2-J3</f>
        <v>61459</v>
      </c>
      <c r="K4">
        <f>K2-K3</f>
        <v>62150</v>
      </c>
      <c r="L4">
        <f>L2-L3</f>
        <v>41368</v>
      </c>
      <c r="M4">
        <f>M2-M3</f>
        <v>52488</v>
      </c>
    </row>
    <row r="5">
      <c r="A5" t="s">
        <v>16</v>
      </c>
      <c r="B5">
        <v>3374</v>
      </c>
      <c r="C5">
        <v>9855</v>
      </c>
      <c r="D5">
        <v>4731</v>
      </c>
      <c r="E5">
        <v>9730</v>
      </c>
      <c r="F5">
        <v>10723</v>
      </c>
      <c r="G5">
        <v>5305</v>
      </c>
      <c r="H5">
        <v>8360</v>
      </c>
      <c r="I5">
        <v>5963</v>
      </c>
      <c r="J5">
        <v>1834</v>
      </c>
      <c r="K5">
        <v>7150</v>
      </c>
      <c r="L5">
        <v>9282</v>
      </c>
      <c r="M5">
        <v>5668</v>
      </c>
    </row>
    <row r="6">
      <c r="A6" t="s">
        <v>17</v>
      </c>
      <c r="B6">
        <v>8704</v>
      </c>
      <c r="C6">
        <v>1255</v>
      </c>
      <c r="D6">
        <v>8606</v>
      </c>
      <c r="E6">
        <v>8581</v>
      </c>
      <c r="F6">
        <v>2215</v>
      </c>
      <c r="G6">
        <v>4902</v>
      </c>
      <c r="H6">
        <v>9495</v>
      </c>
      <c r="I6">
        <v>5693</v>
      </c>
      <c r="J6">
        <v>5953</v>
      </c>
      <c r="K6">
        <v>9999</v>
      </c>
      <c r="L6">
        <v>8345</v>
      </c>
      <c r="M6">
        <v>4655</v>
      </c>
    </row>
    <row r="7">
      <c r="A7" t="s">
        <v>18</v>
      </c>
      <c r="B7">
        <v>11582</v>
      </c>
      <c r="C7">
        <v>5046</v>
      </c>
      <c r="D7">
        <v>11727</v>
      </c>
      <c r="E7">
        <v>10735</v>
      </c>
      <c r="F7">
        <v>2638</v>
      </c>
      <c r="G7">
        <v>6358</v>
      </c>
      <c r="H7">
        <v>9757</v>
      </c>
      <c r="I7">
        <v>9616</v>
      </c>
      <c r="J7">
        <v>1558</v>
      </c>
      <c r="K7">
        <v>2956</v>
      </c>
      <c r="L7">
        <v>10516</v>
      </c>
      <c r="M7">
        <v>1141</v>
      </c>
    </row>
    <row r="8">
      <c r="A8" t="s">
        <v>19</v>
      </c>
      <c r="B8">
        <v>5586</v>
      </c>
      <c r="C8">
        <v>9911</v>
      </c>
      <c r="D8">
        <v>8464</v>
      </c>
      <c r="E8">
        <v>4503</v>
      </c>
      <c r="F8">
        <v>2098</v>
      </c>
      <c r="G8">
        <v>6000</v>
      </c>
      <c r="H8">
        <v>6039</v>
      </c>
      <c r="I8">
        <v>3097</v>
      </c>
      <c r="J8">
        <v>11840</v>
      </c>
      <c r="K8">
        <v>2306</v>
      </c>
      <c r="L8">
        <v>1938</v>
      </c>
      <c r="M8">
        <v>1633</v>
      </c>
    </row>
    <row r="9">
      <c r="A9" t="s">
        <v>20</v>
      </c>
      <c r="B9">
        <v>11833</v>
      </c>
      <c r="C9">
        <v>4019</v>
      </c>
      <c r="D9">
        <v>5242</v>
      </c>
      <c r="E9">
        <v>8237</v>
      </c>
      <c r="F9">
        <v>10481</v>
      </c>
      <c r="G9">
        <v>11655</v>
      </c>
      <c r="H9">
        <v>5337</v>
      </c>
      <c r="I9">
        <v>2061</v>
      </c>
      <c r="J9">
        <v>10908</v>
      </c>
      <c r="K9">
        <v>2780</v>
      </c>
      <c r="L9">
        <v>9031</v>
      </c>
      <c r="M9">
        <v>8640</v>
      </c>
    </row>
    <row r="10">
      <c r="A10" t="s">
        <v>21</v>
      </c>
      <c r="B10">
        <v>5182</v>
      </c>
      <c r="C10">
        <v>10838</v>
      </c>
      <c r="D10">
        <v>7177</v>
      </c>
      <c r="E10">
        <v>7288</v>
      </c>
      <c r="F10">
        <v>2809</v>
      </c>
      <c r="G10">
        <v>4869</v>
      </c>
      <c r="H10">
        <v>1791</v>
      </c>
      <c r="I10">
        <v>6580</v>
      </c>
      <c r="J10">
        <v>3602</v>
      </c>
      <c r="K10">
        <v>6350</v>
      </c>
      <c r="L10">
        <v>1668</v>
      </c>
      <c r="M10">
        <v>9428</v>
      </c>
    </row>
    <row r="11">
      <c r="A11" t="s">
        <v>22</v>
      </c>
      <c r="B11">
        <v>7690</v>
      </c>
      <c r="C11">
        <v>5175</v>
      </c>
      <c r="D11">
        <v>4956</v>
      </c>
      <c r="E11">
        <v>8884</v>
      </c>
      <c r="F11">
        <v>2494</v>
      </c>
      <c r="G11">
        <v>4907</v>
      </c>
      <c r="H11">
        <v>10132</v>
      </c>
      <c r="I11">
        <v>11164</v>
      </c>
      <c r="J11">
        <v>8008</v>
      </c>
      <c r="K11">
        <v>1376</v>
      </c>
      <c r="L11">
        <v>3131</v>
      </c>
      <c r="M11">
        <v>4202</v>
      </c>
    </row>
    <row r="12">
      <c r="A12" t="s">
        <v>23</v>
      </c>
      <c r="B12">
        <v>7241</v>
      </c>
      <c r="C12">
        <v>5453</v>
      </c>
      <c r="D12">
        <v>11103</v>
      </c>
      <c r="E12">
        <v>3503</v>
      </c>
      <c r="F12">
        <v>8798</v>
      </c>
      <c r="G12">
        <v>4181</v>
      </c>
      <c r="H12">
        <v>7162</v>
      </c>
      <c r="I12">
        <v>11230</v>
      </c>
      <c r="J12">
        <v>8933</v>
      </c>
      <c r="K12">
        <v>8094</v>
      </c>
      <c r="L12">
        <v>8352</v>
      </c>
      <c r="M12">
        <v>8461</v>
      </c>
    </row>
    <row r="13">
      <c r="A13" t="s">
        <v>24</v>
      </c>
      <c r="B13">
        <v>5956</v>
      </c>
      <c r="C13">
        <v>2182</v>
      </c>
      <c r="D13">
        <v>9779</v>
      </c>
      <c r="E13">
        <v>1137</v>
      </c>
      <c r="F13">
        <v>10210</v>
      </c>
      <c r="G13">
        <v>8249</v>
      </c>
      <c r="H13">
        <v>4944</v>
      </c>
      <c r="I13">
        <v>3095</v>
      </c>
      <c r="J13">
        <v>3198</v>
      </c>
      <c r="K13">
        <v>5870</v>
      </c>
      <c r="L13">
        <v>10446</v>
      </c>
      <c r="M13">
        <v>9262</v>
      </c>
    </row>
    <row r="14">
      <c r="A14" t="s">
        <v>25</v>
      </c>
      <c r="B14">
        <f>SUM(B5:B13)</f>
        <v>67148</v>
      </c>
      <c r="C14">
        <f>SUM(C5:C13)</f>
        <v>53734</v>
      </c>
      <c r="D14">
        <f>SUM(D5:D13)</f>
        <v>71785</v>
      </c>
      <c r="E14">
        <f>SUM(E5:E13)</f>
        <v>62598</v>
      </c>
      <c r="F14">
        <f>SUM(F5:F13)</f>
        <v>52466</v>
      </c>
      <c r="G14">
        <f>SUM(G5:G13)</f>
        <v>56426</v>
      </c>
      <c r="H14">
        <f>SUM(H5:H13)</f>
        <v>63017</v>
      </c>
      <c r="I14">
        <f>SUM(I5:I13)</f>
        <v>58499</v>
      </c>
      <c r="J14">
        <f>SUM(J5:J13)</f>
        <v>55834</v>
      </c>
      <c r="K14">
        <f>SUM(K5:K13)</f>
        <v>46881</v>
      </c>
      <c r="L14">
        <f>SUM(L5:L13)</f>
        <v>62709</v>
      </c>
      <c r="M14">
        <f>SUM(M5:M13)</f>
        <v>53090</v>
      </c>
    </row>
    <row r="15">
      <c r="A15" t="s">
        <v>26</v>
      </c>
      <c r="B15">
        <f>B4-B14</f>
        <v>-26432</v>
      </c>
      <c r="C15">
        <f>C4-C14</f>
        <v>44885</v>
      </c>
      <c r="D15">
        <f>D4-D14</f>
        <v>19333</v>
      </c>
      <c r="E15">
        <f>E4-E14</f>
        <v>22054</v>
      </c>
      <c r="F15">
        <f>F4-F14</f>
        <v>-5922</v>
      </c>
      <c r="G15">
        <f>G4-G14</f>
        <v>18885</v>
      </c>
      <c r="H15">
        <f>H4-H14</f>
        <v>11686</v>
      </c>
      <c r="I15">
        <f>I4-I14</f>
        <v>14706</v>
      </c>
      <c r="J15">
        <f>J4-J14</f>
        <v>5625</v>
      </c>
      <c r="K15">
        <f>K4-K14</f>
        <v>15269</v>
      </c>
      <c r="L15">
        <f>L4-L14</f>
        <v>-21341</v>
      </c>
      <c r="M15">
        <f>M4-M14</f>
        <v>-602</v>
      </c>
    </row>
    <row r="16">
      <c r="A16" t="s">
        <v>27</v>
      </c>
      <c r="B16">
        <f>B15/B2</f>
        <v>-0.3051207461790645</v>
      </c>
      <c r="C16">
        <f>C15/C2</f>
        <v>0.23212097078642388</v>
      </c>
      <c r="D16">
        <f>D15/D2</f>
        <v>0.10396657237811502</v>
      </c>
      <c r="E16">
        <f>E15/E2</f>
        <v>0.11463173761630022</v>
      </c>
      <c r="F16">
        <f>F15/F2</f>
        <v>-0.06998014747589336</v>
      </c>
      <c r="G16">
        <f>G15/G2</f>
        <v>0.12788910183046992</v>
      </c>
      <c r="H16">
        <f>H15/H2</f>
        <v>0.07508835057508192</v>
      </c>
      <c r="I16">
        <f>I15/I2</f>
        <v>0.11651639279319251</v>
      </c>
      <c r="J16">
        <f>J15/J2</f>
        <v>0.03660989150455264</v>
      </c>
      <c r="K16">
        <f>K15/K2</f>
        <v>0.098271922767498</v>
      </c>
      <c r="L16">
        <f>L15/L2</f>
        <v>-0.23214907318771213</v>
      </c>
      <c r="M16">
        <f>M15/M2</f>
        <v>-0.005390642489366465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>
      <selection activeCell="A1" sqref="A1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>
        <v>169936</v>
      </c>
      <c r="C2">
        <v>120194</v>
      </c>
      <c r="D2">
        <v>127907</v>
      </c>
      <c r="E2">
        <v>140381</v>
      </c>
      <c r="F2">
        <v>82772</v>
      </c>
      <c r="G2">
        <v>191138</v>
      </c>
      <c r="H2">
        <v>114368</v>
      </c>
      <c r="I2">
        <v>179015</v>
      </c>
      <c r="J2">
        <v>174910</v>
      </c>
      <c r="K2">
        <v>112351</v>
      </c>
      <c r="L2">
        <v>81823</v>
      </c>
      <c r="M2">
        <v>194547</v>
      </c>
    </row>
    <row r="3">
      <c r="A3" t="s">
        <v>14</v>
      </c>
      <c r="B3">
        <v>71373</v>
      </c>
      <c r="C3">
        <v>56491</v>
      </c>
      <c r="D3">
        <v>71627</v>
      </c>
      <c r="E3">
        <v>57556</v>
      </c>
      <c r="F3">
        <v>49663</v>
      </c>
      <c r="G3">
        <v>87923</v>
      </c>
      <c r="H3">
        <v>52609</v>
      </c>
      <c r="I3">
        <v>91297</v>
      </c>
      <c r="J3">
        <v>73462</v>
      </c>
      <c r="K3">
        <v>55051</v>
      </c>
      <c r="L3">
        <v>36002</v>
      </c>
      <c r="M3">
        <v>87546</v>
      </c>
    </row>
    <row r="4">
      <c r="A4" t="s">
        <v>15</v>
      </c>
      <c r="B4">
        <f>B2-B3</f>
        <v>98563</v>
      </c>
      <c r="C4">
        <f>C2-C3</f>
        <v>63703</v>
      </c>
      <c r="D4">
        <f>D2-D3</f>
        <v>56280</v>
      </c>
      <c r="E4">
        <f>E2-E3</f>
        <v>82825</v>
      </c>
      <c r="F4">
        <f>F2-F3</f>
        <v>33109</v>
      </c>
      <c r="G4">
        <f>G2-G3</f>
        <v>103215</v>
      </c>
      <c r="H4">
        <f>H2-H3</f>
        <v>61759</v>
      </c>
      <c r="I4">
        <f>I2-I3</f>
        <v>87718</v>
      </c>
      <c r="J4">
        <f>J2-J3</f>
        <v>101448</v>
      </c>
      <c r="K4">
        <f>K2-K3</f>
        <v>57300</v>
      </c>
      <c r="L4">
        <f>L2-L3</f>
        <v>45821</v>
      </c>
      <c r="M4">
        <f>M2-M3</f>
        <v>107001</v>
      </c>
    </row>
    <row r="5">
      <c r="A5" t="s">
        <v>16</v>
      </c>
      <c r="B5">
        <v>6097</v>
      </c>
      <c r="C5">
        <v>10550</v>
      </c>
      <c r="D5">
        <v>6017</v>
      </c>
      <c r="E5">
        <v>6681</v>
      </c>
      <c r="F5">
        <v>10891</v>
      </c>
      <c r="G5">
        <v>10349</v>
      </c>
      <c r="H5">
        <v>2390</v>
      </c>
      <c r="I5">
        <v>5855</v>
      </c>
      <c r="J5">
        <v>4210</v>
      </c>
      <c r="K5">
        <v>6265</v>
      </c>
      <c r="L5">
        <v>1078</v>
      </c>
      <c r="M5">
        <v>10435</v>
      </c>
    </row>
    <row r="6">
      <c r="A6" t="s">
        <v>17</v>
      </c>
      <c r="B6">
        <v>1229</v>
      </c>
      <c r="C6">
        <v>2439</v>
      </c>
      <c r="D6">
        <v>8568</v>
      </c>
      <c r="E6">
        <v>8793</v>
      </c>
      <c r="F6">
        <v>6478</v>
      </c>
      <c r="G6">
        <v>9549</v>
      </c>
      <c r="H6">
        <v>10327</v>
      </c>
      <c r="I6">
        <v>2233</v>
      </c>
      <c r="J6">
        <v>8627</v>
      </c>
      <c r="K6">
        <v>4027</v>
      </c>
      <c r="L6">
        <v>8036</v>
      </c>
      <c r="M6">
        <v>3063</v>
      </c>
    </row>
    <row r="7">
      <c r="A7" t="s">
        <v>18</v>
      </c>
      <c r="B7">
        <v>11311</v>
      </c>
      <c r="C7">
        <v>10438</v>
      </c>
      <c r="D7">
        <v>11484</v>
      </c>
      <c r="E7">
        <v>1859</v>
      </c>
      <c r="F7">
        <v>5980</v>
      </c>
      <c r="G7">
        <v>5220</v>
      </c>
      <c r="H7">
        <v>2561</v>
      </c>
      <c r="I7">
        <v>3237</v>
      </c>
      <c r="J7">
        <v>4183</v>
      </c>
      <c r="K7">
        <v>6868</v>
      </c>
      <c r="L7">
        <v>1674</v>
      </c>
      <c r="M7">
        <v>7644</v>
      </c>
    </row>
    <row r="8">
      <c r="A8" t="s">
        <v>19</v>
      </c>
      <c r="B8">
        <v>6618</v>
      </c>
      <c r="C8">
        <v>5207</v>
      </c>
      <c r="D8">
        <v>11941</v>
      </c>
      <c r="E8">
        <v>7024</v>
      </c>
      <c r="F8">
        <v>2325</v>
      </c>
      <c r="G8">
        <v>10195</v>
      </c>
      <c r="H8">
        <v>5371</v>
      </c>
      <c r="I8">
        <v>9431</v>
      </c>
      <c r="J8">
        <v>1759</v>
      </c>
      <c r="K8">
        <v>8479</v>
      </c>
      <c r="L8">
        <v>11667</v>
      </c>
      <c r="M8">
        <v>3443</v>
      </c>
    </row>
    <row r="9">
      <c r="A9" t="s">
        <v>20</v>
      </c>
      <c r="B9">
        <v>5083</v>
      </c>
      <c r="C9">
        <v>4958</v>
      </c>
      <c r="D9">
        <v>11351</v>
      </c>
      <c r="E9">
        <v>11344</v>
      </c>
      <c r="F9">
        <v>10815</v>
      </c>
      <c r="G9">
        <v>8326</v>
      </c>
      <c r="H9">
        <v>5684</v>
      </c>
      <c r="I9">
        <v>3826</v>
      </c>
      <c r="J9">
        <v>9258</v>
      </c>
      <c r="K9">
        <v>2097</v>
      </c>
      <c r="L9">
        <v>4293</v>
      </c>
      <c r="M9">
        <v>4347</v>
      </c>
    </row>
    <row r="10">
      <c r="A10" t="s">
        <v>21</v>
      </c>
      <c r="B10">
        <v>8645</v>
      </c>
      <c r="C10">
        <v>8114</v>
      </c>
      <c r="D10">
        <v>9448</v>
      </c>
      <c r="E10">
        <v>6186</v>
      </c>
      <c r="F10">
        <v>6594</v>
      </c>
      <c r="G10">
        <v>6971</v>
      </c>
      <c r="H10">
        <v>9075</v>
      </c>
      <c r="I10">
        <v>8149</v>
      </c>
      <c r="J10">
        <v>4500</v>
      </c>
      <c r="K10">
        <v>2417</v>
      </c>
      <c r="L10">
        <v>11999</v>
      </c>
      <c r="M10">
        <v>2428</v>
      </c>
    </row>
    <row r="11">
      <c r="A11" t="s">
        <v>22</v>
      </c>
      <c r="B11">
        <v>3672</v>
      </c>
      <c r="C11">
        <v>6562</v>
      </c>
      <c r="D11">
        <v>5748</v>
      </c>
      <c r="E11">
        <v>11685</v>
      </c>
      <c r="F11">
        <v>9485</v>
      </c>
      <c r="G11">
        <v>7842</v>
      </c>
      <c r="H11">
        <v>2423</v>
      </c>
      <c r="I11">
        <v>11988</v>
      </c>
      <c r="J11">
        <v>8784</v>
      </c>
      <c r="K11">
        <v>11838</v>
      </c>
      <c r="L11">
        <v>3263</v>
      </c>
      <c r="M11">
        <v>10406</v>
      </c>
    </row>
    <row r="12">
      <c r="A12" t="s">
        <v>23</v>
      </c>
      <c r="B12">
        <v>7632</v>
      </c>
      <c r="C12">
        <v>11677</v>
      </c>
      <c r="D12">
        <v>6895</v>
      </c>
      <c r="E12">
        <v>11447</v>
      </c>
      <c r="F12">
        <v>8222</v>
      </c>
      <c r="G12">
        <v>5017</v>
      </c>
      <c r="H12">
        <v>2175</v>
      </c>
      <c r="I12">
        <v>2703</v>
      </c>
      <c r="J12">
        <v>6861</v>
      </c>
      <c r="K12">
        <v>9736</v>
      </c>
      <c r="L12">
        <v>5449</v>
      </c>
      <c r="M12">
        <v>10188</v>
      </c>
    </row>
    <row r="13">
      <c r="A13" t="s">
        <v>24</v>
      </c>
      <c r="B13">
        <v>6142</v>
      </c>
      <c r="C13">
        <v>11681</v>
      </c>
      <c r="D13">
        <v>3905</v>
      </c>
      <c r="E13">
        <v>10320</v>
      </c>
      <c r="F13">
        <v>11752</v>
      </c>
      <c r="G13">
        <v>1277</v>
      </c>
      <c r="H13">
        <v>5063</v>
      </c>
      <c r="I13">
        <v>9563</v>
      </c>
      <c r="J13">
        <v>6694</v>
      </c>
      <c r="K13">
        <v>10208</v>
      </c>
      <c r="L13">
        <v>5034</v>
      </c>
      <c r="M13">
        <v>9162</v>
      </c>
    </row>
    <row r="14">
      <c r="A14" t="s">
        <v>25</v>
      </c>
      <c r="B14">
        <f>SUM(B5:B13)</f>
        <v>56429</v>
      </c>
      <c r="C14">
        <f>SUM(C5:C13)</f>
        <v>71626</v>
      </c>
      <c r="D14">
        <f>SUM(D5:D13)</f>
        <v>75357</v>
      </c>
      <c r="E14">
        <f>SUM(E5:E13)</f>
        <v>75339</v>
      </c>
      <c r="F14">
        <f>SUM(F5:F13)</f>
        <v>72542</v>
      </c>
      <c r="G14">
        <f>SUM(G5:G13)</f>
        <v>64746</v>
      </c>
      <c r="H14">
        <f>SUM(H5:H13)</f>
        <v>45069</v>
      </c>
      <c r="I14">
        <f>SUM(I5:I13)</f>
        <v>56985</v>
      </c>
      <c r="J14">
        <f>SUM(J5:J13)</f>
        <v>54876</v>
      </c>
      <c r="K14">
        <f>SUM(K5:K13)</f>
        <v>61935</v>
      </c>
      <c r="L14">
        <f>SUM(L5:L13)</f>
        <v>52493</v>
      </c>
      <c r="M14">
        <f>SUM(M5:M13)</f>
        <v>61116</v>
      </c>
    </row>
    <row r="15">
      <c r="A15" t="s">
        <v>26</v>
      </c>
      <c r="B15">
        <f>B4-B14</f>
        <v>42134</v>
      </c>
      <c r="C15">
        <f>C4-C14</f>
        <v>-7923</v>
      </c>
      <c r="D15">
        <f>D4-D14</f>
        <v>-19077</v>
      </c>
      <c r="E15">
        <f>E4-E14</f>
        <v>7486</v>
      </c>
      <c r="F15">
        <f>F4-F14</f>
        <v>-39433</v>
      </c>
      <c r="G15">
        <f>G4-G14</f>
        <v>38469</v>
      </c>
      <c r="H15">
        <f>H4-H14</f>
        <v>16690</v>
      </c>
      <c r="I15">
        <f>I4-I14</f>
        <v>30733</v>
      </c>
      <c r="J15">
        <f>J4-J14</f>
        <v>46572</v>
      </c>
      <c r="K15">
        <f>K4-K14</f>
        <v>-4635</v>
      </c>
      <c r="L15">
        <f>L4-L14</f>
        <v>-6672</v>
      </c>
      <c r="M15">
        <f>M4-M14</f>
        <v>45885</v>
      </c>
    </row>
    <row r="16">
      <c r="A16" t="s">
        <v>27</v>
      </c>
      <c r="B16">
        <f>B15/B2</f>
        <v>0.24794040109217588</v>
      </c>
      <c r="C16">
        <f>C15/C2</f>
        <v>-0.06591843186847929</v>
      </c>
      <c r="D16">
        <f>D15/D2</f>
        <v>-0.14914742742774048</v>
      </c>
      <c r="E16">
        <f>E15/E2</f>
        <v>0.053326304841823324</v>
      </c>
      <c r="F16">
        <f>F15/F2</f>
        <v>-0.47640506451457015</v>
      </c>
      <c r="G16">
        <f>G15/G2</f>
        <v>0.2012629618390901</v>
      </c>
      <c r="H16">
        <f>H15/H2</f>
        <v>0.14593242865137102</v>
      </c>
      <c r="I16">
        <f>I15/I2</f>
        <v>0.17167835097617518</v>
      </c>
      <c r="J16">
        <f>J15/J2</f>
        <v>0.2662626493625293</v>
      </c>
      <c r="K16">
        <f>K15/K2</f>
        <v>-0.04125463947806428</v>
      </c>
      <c r="L16">
        <f>L15/L2</f>
        <v>-0.08154186475685321</v>
      </c>
      <c r="M16">
        <f>M15/M2</f>
        <v>0.23585560301623773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M19"/>
  <sheetViews>
    <sheetView workbookViewId="0">
      <selection activeCell="A1" sqref="A1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>
        <f>SUM(Branch1!B2,Branch2!B2,Branch3!B2,Branch4!B2,Branch5!B2)</f>
        <v>742288</v>
      </c>
      <c r="C2">
        <f>SUM(Branch1!C2,Branch2!C2,Branch3!C2,Branch4!C2,Branch5!C2)</f>
        <v>804375</v>
      </c>
      <c r="D2">
        <f>SUM(Branch1!D2,Branch2!D2,Branch3!D2,Branch4!D2,Branch5!D2)</f>
        <v>801494</v>
      </c>
      <c r="E2">
        <f>SUM(Branch1!E2,Branch2!E2,Branch3!E2,Branch4!E2,Branch5!E2)</f>
        <v>764685</v>
      </c>
      <c r="F2">
        <f>SUM(Branch1!F2,Branch2!F2,Branch3!F2,Branch4!F2,Branch5!F2)</f>
        <v>530943</v>
      </c>
      <c r="G2">
        <f>SUM(Branch1!G2,Branch2!G2,Branch3!G2,Branch4!G2,Branch5!G2)</f>
        <v>873334</v>
      </c>
      <c r="H2">
        <f>SUM(Branch1!H2,Branch2!H2,Branch3!H2,Branch4!H2,Branch5!H2)</f>
        <v>471538</v>
      </c>
      <c r="I2">
        <f>SUM(Branch1!I2,Branch2!I2,Branch3!I2,Branch4!I2,Branch5!I2)</f>
        <v>655770</v>
      </c>
      <c r="J2">
        <f>SUM(Branch1!J2,Branch2!J2,Branch3!J2,Branch4!J2,Branch5!J2)</f>
        <v>876765</v>
      </c>
      <c r="K2">
        <f>SUM(Branch1!K2,Branch2!K2,Branch3!K2,Branch4!K2,Branch5!K2)</f>
        <v>705922</v>
      </c>
      <c r="L2">
        <f>SUM(Branch1!L2,Branch2!L2,Branch3!L2,Branch4!L2,Branch5!L2)</f>
        <v>613187</v>
      </c>
      <c r="M2">
        <f>SUM(Branch1!M2,Branch2!M2,Branch3!M2,Branch4!M2,Branch5!M2)</f>
        <v>667774</v>
      </c>
    </row>
    <row r="3">
      <c r="A3" t="s">
        <v>14</v>
      </c>
      <c r="B3">
        <f>SUM(Branch1!B3,Branch2!B3,Branch3!B3,Branch4!B3,Branch5!B3)</f>
        <v>366379</v>
      </c>
      <c r="C3">
        <f>SUM(Branch1!C3,Branch2!C3,Branch3!C3,Branch4!C3,Branch5!C3)</f>
        <v>408262</v>
      </c>
      <c r="D3">
        <f>SUM(Branch1!D3,Branch2!D3,Branch3!D3,Branch4!D3,Branch5!D3)</f>
        <v>438102</v>
      </c>
      <c r="E3">
        <f>SUM(Branch1!E3,Branch2!E3,Branch3!E3,Branch4!E3,Branch5!E3)</f>
        <v>375461</v>
      </c>
      <c r="F3">
        <f>SUM(Branch1!F3,Branch2!F3,Branch3!F3,Branch4!F3,Branch5!F3)</f>
        <v>263994</v>
      </c>
      <c r="G3">
        <f>SUM(Branch1!G3,Branch2!G3,Branch3!G3,Branch4!G3,Branch5!G3)</f>
        <v>417780</v>
      </c>
      <c r="H3">
        <f>SUM(Branch1!H3,Branch2!H3,Branch3!H3,Branch4!H3,Branch5!H3)</f>
        <v>234345</v>
      </c>
      <c r="I3">
        <f>SUM(Branch1!I3,Branch2!I3,Branch3!I3,Branch4!I3,Branch5!I3)</f>
        <v>322289</v>
      </c>
      <c r="J3">
        <f>SUM(Branch1!J3,Branch2!J3,Branch3!J3,Branch4!J3,Branch5!J3)</f>
        <v>426810</v>
      </c>
      <c r="K3">
        <f>SUM(Branch1!K3,Branch2!K3,Branch3!K3,Branch4!K3,Branch5!K3)</f>
        <v>355042</v>
      </c>
      <c r="L3">
        <f>SUM(Branch1!L3,Branch2!L3,Branch3!L3,Branch4!L3,Branch5!L3)</f>
        <v>317874</v>
      </c>
      <c r="M3">
        <f>SUM(Branch1!M3,Branch2!M3,Branch3!M3,Branch4!M3,Branch5!M3)</f>
        <v>341409</v>
      </c>
    </row>
    <row r="4">
      <c r="A4" t="s">
        <v>15</v>
      </c>
      <c r="B4">
        <f>B2-B3</f>
        <v>375909</v>
      </c>
      <c r="C4">
        <f>C2-C3</f>
        <v>396113</v>
      </c>
      <c r="D4">
        <f>D2-D3</f>
        <v>363392</v>
      </c>
      <c r="E4">
        <f>E2-E3</f>
        <v>389224</v>
      </c>
      <c r="F4">
        <f>F2-F3</f>
        <v>266949</v>
      </c>
      <c r="G4">
        <f>G2-G3</f>
        <v>455554</v>
      </c>
      <c r="H4">
        <f>H2-H3</f>
        <v>237193</v>
      </c>
      <c r="I4">
        <f>I2-I3</f>
        <v>333481</v>
      </c>
      <c r="J4">
        <f>J2-J3</f>
        <v>449955</v>
      </c>
      <c r="K4">
        <f>K2-K3</f>
        <v>350880</v>
      </c>
      <c r="L4">
        <f>L2-L3</f>
        <v>295313</v>
      </c>
      <c r="M4">
        <f>M2-M3</f>
        <v>326365</v>
      </c>
    </row>
    <row r="5">
      <c r="A5" t="s">
        <v>16</v>
      </c>
      <c r="B5">
        <f>SUM(Branch1!B5,Branch2!B5,Branch3!B5,Branch4!B5,Branch5!B5)</f>
        <v>30210</v>
      </c>
      <c r="C5">
        <f>SUM(Branch1!C5,Branch2!C5,Branch3!C5,Branch4!C5,Branch5!C5)</f>
        <v>45426</v>
      </c>
      <c r="D5">
        <f>SUM(Branch1!D5,Branch2!D5,Branch3!D5,Branch4!D5,Branch5!D5)</f>
        <v>28252</v>
      </c>
      <c r="E5">
        <v>54321</v>
      </c>
      <c r="F5">
        <f>SUM(Branch1!F5,Branch2!F5,Branch3!F5,Branch4!F5,Branch5!F5)</f>
        <v>38573</v>
      </c>
      <c r="G5">
        <f>SUM(Branch1!G5,Branch2!G5,Branch3!G5,Branch4!G5,Branch5!G5)</f>
        <v>34749</v>
      </c>
      <c r="H5">
        <f>SUM(Branch1!H5,Branch2!H5,Branch3!H5,Branch4!H5,Branch5!H5)</f>
        <v>32266</v>
      </c>
      <c r="I5">
        <f>SUM(Branch1!I5,Branch2!I5,Branch3!I5,Branch4!I5,Branch5!I5)</f>
        <v>36367</v>
      </c>
      <c r="J5">
        <f>SUM(Branch1!J5,Branch2!J5,Branch3!J5,Branch4!J5,Branch5!J5)</f>
        <v>21332</v>
      </c>
      <c r="K5">
        <f>SUM(Branch1!K5,Branch2!K5,Branch3!K5,Branch4!K5,Branch5!K5)</f>
        <v>19898</v>
      </c>
      <c r="L5">
        <f>SUM(Branch1!L5,Branch2!L5,Branch3!L5,Branch4!L5,Branch5!L5)</f>
        <v>19109</v>
      </c>
      <c r="M5">
        <f>SUM(Branch1!M5,Branch2!M5,Branch3!M5,Branch4!M5,Branch5!M5)</f>
        <v>31385</v>
      </c>
    </row>
    <row r="6">
      <c r="A6" t="s">
        <v>17</v>
      </c>
      <c r="B6">
        <f>SUM(Branch1!B6,Branch2!B6,Branch3!B6,Branch4!B6,Branch5!B6)</f>
        <v>30115</v>
      </c>
      <c r="C6">
        <f>SUM(Branch1!C6,Branch2!C6,Branch3!C6,Branch4!C6,Branch5!C6)</f>
        <v>26153</v>
      </c>
      <c r="D6">
        <f>SUM(Branch1!D6,Branch2!D6,Branch3!D6,Branch4!D6,Branch5!D6)</f>
        <v>29356</v>
      </c>
      <c r="E6">
        <f>SUM(Branch1!E6,Branch2!E6,Branch3!E6,Branch4!E6,Branch5!E6)</f>
        <v>37612</v>
      </c>
      <c r="F6">
        <f>SUM(Branch1!F6,Branch2!F6,Branch3!F6,Branch4!F6,Branch5!F6)</f>
        <v>31091</v>
      </c>
      <c r="G6">
        <f>SUM(Branch1!G6,Branch2!G6,Branch3!G6,Branch4!G6,Branch5!G6)</f>
        <v>28929</v>
      </c>
      <c r="H6">
        <f>SUM(Branch1!H6,Branch2!H6,Branch3!H6,Branch4!H6,Branch5!H6)</f>
        <v>46116</v>
      </c>
      <c r="I6">
        <f>SUM(Branch1!I6,Branch2!I6,Branch3!I6,Branch4!I6,Branch5!I6)</f>
        <v>24044</v>
      </c>
      <c r="J6">
        <f>SUM(Branch1!J6,Branch2!J6,Branch3!J6,Branch4!J6,Branch5!J6)</f>
        <v>36357</v>
      </c>
      <c r="K6">
        <f>SUM(Branch1!K6,Branch2!K6,Branch3!K6,Branch4!K6,Branch5!K6)</f>
        <v>32587</v>
      </c>
      <c r="L6">
        <f>SUM(Branch1!L6,Branch2!L6,Branch3!L6,Branch4!L6,Branch5!L6)</f>
        <v>37180</v>
      </c>
      <c r="M6">
        <f>SUM(Branch1!M6,Branch2!M6,Branch3!M6,Branch4!M6,Branch5!M6)</f>
        <v>25627</v>
      </c>
    </row>
    <row r="7">
      <c r="A7" t="s">
        <v>18</v>
      </c>
      <c r="B7">
        <f>SUM(Branch1!B7,Branch2!B7,Branch3!B7,Branch4!B7,Branch5!B7)</f>
        <v>40042</v>
      </c>
      <c r="C7">
        <f>SUM(Branch1!C7,Branch2!C7,Branch3!C7,Branch4!C7,Branch5!C7)</f>
        <v>44607</v>
      </c>
      <c r="D7">
        <f>SUM(Branch1!D7,Branch2!D7,Branch3!D7,Branch4!D7,Branch5!D7)</f>
        <v>48697</v>
      </c>
      <c r="E7">
        <f>SUM(Branch1!E7,Branch2!E7,Branch3!E7,Branch4!E7,Branch5!E7)</f>
        <v>33533</v>
      </c>
      <c r="F7">
        <f>SUM(Branch1!F7,Branch2!F7,Branch3!F7,Branch4!F7,Branch5!F7)</f>
        <v>17332</v>
      </c>
      <c r="G7">
        <f>SUM(Branch1!G7,Branch2!G7,Branch3!G7,Branch4!G7,Branch5!G7)</f>
        <v>30622</v>
      </c>
      <c r="H7">
        <f>SUM(Branch1!H7,Branch2!H7,Branch3!H7,Branch4!H7,Branch5!H7)</f>
        <v>33974</v>
      </c>
      <c r="I7">
        <f>SUM(Branch1!I7,Branch2!I7,Branch3!I7,Branch4!I7,Branch5!I7)</f>
        <v>38413</v>
      </c>
      <c r="J7">
        <f>SUM(Branch1!J7,Branch2!J7,Branch3!J7,Branch4!J7,Branch5!J7)</f>
        <v>22904</v>
      </c>
      <c r="K7">
        <f>SUM(Branch1!K7,Branch2!K7,Branch3!K7,Branch4!K7,Branch5!K7)</f>
        <v>29859</v>
      </c>
      <c r="L7">
        <f>SUM(Branch1!L7,Branch2!L7,Branch3!L7,Branch4!L7,Branch5!L7)</f>
        <v>25294</v>
      </c>
      <c r="M7">
        <f>SUM(Branch1!M7,Branch2!M7,Branch3!M7,Branch4!M7,Branch5!M7)</f>
        <v>22113</v>
      </c>
    </row>
    <row r="8">
      <c r="A8" t="s">
        <v>19</v>
      </c>
      <c r="B8">
        <f>SUM(Branch1!B8,Branch2!B8,Branch3!B8,Branch4!B8,Branch5!B8)</f>
        <v>24767</v>
      </c>
      <c r="C8">
        <f>SUM(Branch1!C8,Branch2!C8,Branch3!C8,Branch4!C8,Branch5!C8)</f>
        <v>38738</v>
      </c>
      <c r="D8">
        <f>SUM(Branch1!D8,Branch2!D8,Branch3!D8,Branch4!D8,Branch5!D8)</f>
        <v>40054</v>
      </c>
      <c r="E8">
        <f>SUM(Branch1!E8,Branch2!E8,Branch3!E8,Branch4!E8,Branch5!E8)</f>
        <v>33772</v>
      </c>
      <c r="F8">
        <f>SUM(Branch1!F8,Branch2!F8,Branch3!F8,Branch4!F8,Branch5!F8)</f>
        <v>24836</v>
      </c>
      <c r="G8">
        <f>SUM(Branch1!G8,Branch2!G8,Branch3!G8,Branch4!G8,Branch5!G8)</f>
        <v>26212</v>
      </c>
      <c r="H8">
        <f>SUM(Branch1!H8,Branch2!H8,Branch3!H8,Branch4!H8,Branch5!H8)</f>
        <v>32553</v>
      </c>
      <c r="I8">
        <f>SUM(Branch1!I8,Branch2!I8,Branch3!I8,Branch4!I8,Branch5!I8)</f>
        <v>42635</v>
      </c>
      <c r="J8">
        <f>SUM(Branch1!J8,Branch2!J8,Branch3!J8,Branch4!J8,Branch5!J8)</f>
        <v>25823</v>
      </c>
      <c r="K8">
        <f>SUM(Branch1!K8,Branch2!K8,Branch3!K8,Branch4!K8,Branch5!K8)</f>
        <v>30474</v>
      </c>
      <c r="L8">
        <f>SUM(Branch1!L8,Branch2!L8,Branch3!L8,Branch4!L8,Branch5!L8)</f>
        <v>38485</v>
      </c>
      <c r="M8">
        <f>SUM(Branch1!M8,Branch2!M8,Branch3!M8,Branch4!M8,Branch5!M8)</f>
        <v>31599</v>
      </c>
    </row>
    <row r="9">
      <c r="A9" t="s">
        <v>20</v>
      </c>
      <c r="B9">
        <f>SUM(Branch1!B9,Branch2!B9,Branch3!B9,Branch4!B9,Branch5!B9)</f>
        <v>38502</v>
      </c>
      <c r="C9">
        <f>SUM(Branch1!C9,Branch2!C9,Branch3!C9,Branch4!C9,Branch5!C9)</f>
        <v>39728</v>
      </c>
      <c r="D9">
        <f>SUM(Branch1!D9,Branch2!D9,Branch3!D9,Branch4!D9,Branch5!D9)</f>
        <v>44896</v>
      </c>
      <c r="E9">
        <f>SUM(Branch1!E9,Branch2!E9,Branch3!E9,Branch4!E9,Branch5!E9)</f>
        <v>34454</v>
      </c>
      <c r="F9">
        <f>SUM(Branch1!F9,Branch2!F9,Branch3!F9,Branch4!F9,Branch5!F9)</f>
        <v>40316</v>
      </c>
      <c r="G9">
        <f>SUM(Branch1!G9,Branch2!G9,Branch3!G9,Branch4!G9,Branch5!G9)</f>
        <v>29102</v>
      </c>
      <c r="H9">
        <f>SUM(Branch1!H9,Branch2!H9,Branch3!H9,Branch4!H9,Branch5!H9)</f>
        <v>31573</v>
      </c>
      <c r="I9">
        <f>SUM(Branch1!I9,Branch2!I9,Branch3!I9,Branch4!I9,Branch5!I9)</f>
        <v>22911</v>
      </c>
      <c r="J9">
        <f>SUM(Branch1!J9,Branch2!J9,Branch3!J9,Branch4!J9,Branch5!J9)</f>
        <v>37092</v>
      </c>
      <c r="K9">
        <f>SUM(Branch1!K9,Branch2!K9,Branch3!K9,Branch4!K9,Branch5!K9)</f>
        <v>23478</v>
      </c>
      <c r="L9">
        <f>SUM(Branch1!L9,Branch2!L9,Branch3!L9,Branch4!L9,Branch5!L9)</f>
        <v>39707</v>
      </c>
      <c r="M9">
        <f>SUM(Branch1!M9,Branch2!M9,Branch3!M9,Branch4!M9,Branch5!M9)</f>
        <v>33265</v>
      </c>
    </row>
    <row r="10">
      <c r="A10" t="s">
        <v>21</v>
      </c>
      <c r="B10">
        <f>SUM(Branch1!B10,Branch2!B10,Branch3!B10,Branch4!B10,Branch5!B10)</f>
        <v>34488</v>
      </c>
      <c r="C10">
        <f>SUM(Branch1!C10,Branch2!C10,Branch3!C10,Branch4!C10,Branch5!C10)</f>
        <v>44614</v>
      </c>
      <c r="D10">
        <f>SUM(Branch1!D10,Branch2!D10,Branch3!D10,Branch4!D10,Branch5!D10)</f>
        <v>42655</v>
      </c>
      <c r="E10">
        <f>SUM(Branch1!E10,Branch2!E10,Branch3!E10,Branch4!E10,Branch5!E10)</f>
        <v>36824</v>
      </c>
      <c r="F10">
        <f>SUM(Branch1!F10,Branch2!F10,Branch3!F10,Branch4!F10,Branch5!F10)</f>
        <v>30218</v>
      </c>
      <c r="G10">
        <f>SUM(Branch1!G10,Branch2!G10,Branch3!G10,Branch4!G10,Branch5!G10)</f>
        <v>28672</v>
      </c>
      <c r="H10">
        <f>SUM(Branch1!H10,Branch2!H10,Branch3!H10,Branch4!H10,Branch5!H10)</f>
        <v>19246</v>
      </c>
      <c r="I10">
        <f>SUM(Branch1!I10,Branch2!I10,Branch3!I10,Branch4!I10,Branch5!I10)</f>
        <v>32067</v>
      </c>
      <c r="J10">
        <f>SUM(Branch1!J10,Branch2!J10,Branch3!J10,Branch4!J10,Branch5!J10)</f>
        <v>32588</v>
      </c>
      <c r="K10">
        <f>SUM(Branch1!K10,Branch2!K10,Branch3!K10,Branch4!K10,Branch5!K10)</f>
        <v>27103</v>
      </c>
      <c r="L10">
        <f>SUM(Branch1!L10,Branch2!L10,Branch3!L10,Branch4!L10,Branch5!L10)</f>
        <v>27569</v>
      </c>
      <c r="M10">
        <f>SUM(Branch1!M10,Branch2!M10,Branch3!M10,Branch4!M10,Branch5!M10)</f>
        <v>23714</v>
      </c>
    </row>
    <row r="11">
      <c r="A11" t="s">
        <v>22</v>
      </c>
      <c r="B11">
        <f>SUM(Branch1!B11,Branch2!B11,Branch3!B11,Branch4!B11,Branch5!B11)</f>
        <v>34841</v>
      </c>
      <c r="C11">
        <f>SUM(Branch1!C11,Branch2!C11,Branch3!C11,Branch4!C11,Branch5!C11)</f>
        <v>35340</v>
      </c>
      <c r="D11">
        <f>SUM(Branch1!D11,Branch2!D11,Branch3!D11,Branch4!D11,Branch5!D11)</f>
        <v>30439</v>
      </c>
      <c r="E11">
        <f>SUM(Branch1!E11,Branch2!E11,Branch3!E11,Branch4!E11,Branch5!E11)</f>
        <v>34735</v>
      </c>
      <c r="F11">
        <f>SUM(Branch1!F11,Branch2!F11,Branch3!F11,Branch4!F11,Branch5!F11)</f>
        <v>32923</v>
      </c>
      <c r="G11">
        <f>SUM(Branch1!G11,Branch2!G11,Branch3!G11,Branch4!G11,Branch5!G11)</f>
        <v>33885</v>
      </c>
      <c r="H11">
        <f>SUM(Branch1!H11,Branch2!H11,Branch3!H11,Branch4!H11,Branch5!H11)</f>
        <v>23034</v>
      </c>
      <c r="I11">
        <f>SUM(Branch1!I11,Branch2!I11,Branch3!I11,Branch4!I11,Branch5!I11)</f>
        <v>54941</v>
      </c>
      <c r="J11">
        <f>SUM(Branch1!J11,Branch2!J11,Branch3!J11,Branch4!J11,Branch5!J11)</f>
        <v>47033</v>
      </c>
      <c r="K11">
        <f>SUM(Branch1!K11,Branch2!K11,Branch3!K11,Branch4!K11,Branch5!K11)</f>
        <v>39936</v>
      </c>
      <c r="L11">
        <f>SUM(Branch1!L11,Branch2!L11,Branch3!L11,Branch4!L11,Branch5!L11)</f>
        <v>33939</v>
      </c>
      <c r="M11">
        <f>SUM(Branch1!M11,Branch2!M11,Branch3!M11,Branch4!M11,Branch5!M11)</f>
        <v>42285</v>
      </c>
    </row>
    <row r="12">
      <c r="A12" t="s">
        <v>23</v>
      </c>
      <c r="B12">
        <f>SUM(Branch1!B12,Branch2!B12,Branch3!B12,Branch4!B12,Branch5!B12)</f>
        <v>24292</v>
      </c>
      <c r="C12">
        <f>SUM(Branch1!C12,Branch2!C12,Branch3!C12,Branch4!C12,Branch5!C12)</f>
        <v>41018</v>
      </c>
      <c r="D12">
        <f>SUM(Branch1!D12,Branch2!D12,Branch3!D12,Branch4!D12,Branch5!D12)</f>
        <v>39140</v>
      </c>
      <c r="E12">
        <f>SUM(Branch1!E12,Branch2!E12,Branch3!E12,Branch4!E12,Branch5!E12)</f>
        <v>29740</v>
      </c>
      <c r="F12">
        <f>SUM(Branch1!F12,Branch2!F12,Branch3!F12,Branch4!F12,Branch5!F12)</f>
        <v>39518</v>
      </c>
      <c r="G12">
        <f>SUM(Branch1!G12,Branch2!G12,Branch3!G12,Branch4!G12,Branch5!G12)</f>
        <v>32936</v>
      </c>
      <c r="H12">
        <f>SUM(Branch1!H12,Branch2!H12,Branch3!H12,Branch4!H12,Branch5!H12)</f>
        <v>33762</v>
      </c>
      <c r="I12">
        <f>SUM(Branch1!I12,Branch2!I12,Branch3!I12,Branch4!I12,Branch5!I12)</f>
        <v>36349</v>
      </c>
      <c r="J12">
        <f>SUM(Branch1!J12,Branch2!J12,Branch3!J12,Branch4!J12,Branch5!J12)</f>
        <v>36175</v>
      </c>
      <c r="K12">
        <f>SUM(Branch1!K12,Branch2!K12,Branch3!K12,Branch4!K12,Branch5!K12)</f>
        <v>32146</v>
      </c>
      <c r="L12">
        <f>SUM(Branch1!L12,Branch2!L12,Branch3!L12,Branch4!L12,Branch5!L12)</f>
        <v>30926</v>
      </c>
      <c r="M12">
        <f>SUM(Branch1!M12,Branch2!M12,Branch3!M12,Branch4!M12,Branch5!M12)</f>
        <v>40831</v>
      </c>
    </row>
    <row r="13">
      <c r="A13" t="s">
        <v>24</v>
      </c>
      <c r="B13">
        <f>SUM(Branch1!B13,Branch2!B13,Branch3!B13,Branch4!B13,Branch5!B13)</f>
        <v>42364</v>
      </c>
      <c r="C13">
        <f>SUM(Branch1!C13,Branch2!C13,Branch3!C13,Branch4!C13,Branch5!C13)</f>
        <v>37070</v>
      </c>
      <c r="D13">
        <f>SUM(Branch1!D13,Branch2!D13,Branch3!D13,Branch4!D13,Branch5!D13)</f>
        <v>34589</v>
      </c>
      <c r="E13">
        <f>SUM(Branch1!E13,Branch2!E13,Branch3!E13,Branch4!E13,Branch5!E13)</f>
        <v>38838</v>
      </c>
      <c r="F13">
        <f>SUM(Branch1!F13,Branch2!F13,Branch3!F13,Branch4!F13,Branch5!F13)</f>
        <v>34916</v>
      </c>
      <c r="G13">
        <f>SUM(Branch1!G13,Branch2!G13,Branch3!G13,Branch4!G13,Branch5!G13)</f>
        <v>18308</v>
      </c>
      <c r="H13">
        <f>SUM(Branch1!H13,Branch2!H13,Branch3!H13,Branch4!H13,Branch5!H13)</f>
        <v>22603</v>
      </c>
      <c r="I13">
        <f>SUM(Branch1!I13,Branch2!I13,Branch3!I13,Branch4!I13,Branch5!I13)</f>
        <v>30811</v>
      </c>
      <c r="J13">
        <f>SUM(Branch1!J13,Branch2!J13,Branch3!J13,Branch4!J13,Branch5!J13)</f>
        <v>34869</v>
      </c>
      <c r="K13">
        <f>SUM(Branch1!K13,Branch2!K13,Branch3!K13,Branch4!K13,Branch5!K13)</f>
        <v>41239</v>
      </c>
      <c r="L13">
        <f>SUM(Branch1!L13,Branch2!L13,Branch3!L13,Branch4!L13,Branch5!L13)</f>
        <v>33232</v>
      </c>
      <c r="M13">
        <f>SUM(Branch1!M13,Branch2!M13,Branch3!M13,Branch4!M13,Branch5!M13)</f>
        <v>41279</v>
      </c>
    </row>
    <row r="14">
      <c r="A14" t="s">
        <v>25</v>
      </c>
      <c r="B14">
        <f>SUM(B5:B13)</f>
        <v>299621</v>
      </c>
      <c r="C14">
        <f>SUM(C5:C13)</f>
        <v>352694</v>
      </c>
      <c r="D14">
        <f>SUM(D5:D13)</f>
        <v>338078</v>
      </c>
      <c r="E14">
        <f>SUM(E5:E13)</f>
        <v>333829</v>
      </c>
      <c r="F14">
        <f>SUM(F5:F13)</f>
        <v>289723</v>
      </c>
      <c r="G14">
        <f>SUM(G5:G13)</f>
        <v>263415</v>
      </c>
      <c r="H14">
        <f>SUM(H5:H13)</f>
        <v>275127</v>
      </c>
      <c r="I14">
        <f>SUM(I5:I13)</f>
        <v>318538</v>
      </c>
      <c r="J14">
        <f>SUM(J5:J13)</f>
        <v>294173</v>
      </c>
      <c r="K14">
        <f>SUM(K5:K13)</f>
        <v>276720</v>
      </c>
      <c r="L14">
        <f>SUM(L5:L13)</f>
        <v>285441</v>
      </c>
      <c r="M14">
        <f>SUM(M5:M13)</f>
        <v>292098</v>
      </c>
    </row>
    <row r="15">
      <c r="A15" t="s">
        <v>26</v>
      </c>
      <c r="B15">
        <f>B4-B14</f>
        <v>76288</v>
      </c>
      <c r="C15">
        <f>C4-C14</f>
        <v>43419</v>
      </c>
      <c r="D15">
        <f>D4-D14</f>
        <v>25314</v>
      </c>
      <c r="E15">
        <f>E4-E14</f>
        <v>55395</v>
      </c>
      <c r="F15">
        <f>F4-F14</f>
        <v>-22774</v>
      </c>
      <c r="G15">
        <f>G4-G14</f>
        <v>192139</v>
      </c>
      <c r="H15">
        <f>H4-H14</f>
        <v>-37934</v>
      </c>
      <c r="I15">
        <f>I4-I14</f>
        <v>14943</v>
      </c>
      <c r="J15">
        <f>J4-J14</f>
        <v>155782</v>
      </c>
      <c r="K15">
        <f>K4-K14</f>
        <v>74160</v>
      </c>
      <c r="L15">
        <f>L4-L14</f>
        <v>9872</v>
      </c>
      <c r="M15">
        <f>M4-M14</f>
        <v>34267</v>
      </c>
    </row>
    <row r="16">
      <c r="A16" t="s">
        <v>27</v>
      </c>
      <c r="B16">
        <f>B15/B2</f>
        <v>0.10277412540685017</v>
      </c>
      <c r="C16">
        <f>C15/C2</f>
        <v>0.05397855477855478</v>
      </c>
      <c r="D16">
        <f>D15/D2</f>
        <v>0.031583517780544836</v>
      </c>
      <c r="E16">
        <f>E15/E2</f>
        <v>0.07244159359736362</v>
      </c>
      <c r="F16">
        <f>F15/F2</f>
        <v>-0.04289349327517267</v>
      </c>
      <c r="G16">
        <f>G15/G2</f>
        <v>0.22000632060586214</v>
      </c>
      <c r="H16">
        <f>H15/H2</f>
        <v>-0.08044738706106401</v>
      </c>
      <c r="I16">
        <f>I15/I2</f>
        <v>0.02278695274257743</v>
      </c>
      <c r="J16">
        <f>J15/J2</f>
        <v>0.1776781691787423</v>
      </c>
      <c r="K16">
        <f>K15/K2</f>
        <v>0.10505409946141359</v>
      </c>
      <c r="L16">
        <f>L15/L2</f>
        <v>0.016099493303021753</v>
      </c>
      <c r="M16">
        <f>M15/M2</f>
        <v>0.05131526534426318</v>
      </c>
    </row>
    <row r="18">
      <c r="A18" t="s">
        <v>28</v>
      </c>
      <c r="B18">
        <f>B15+B10</f>
        <v>110776</v>
      </c>
      <c r="C18">
        <f>C15+C10</f>
        <v>88033</v>
      </c>
      <c r="D18">
        <f>D15+D10</f>
        <v>67969</v>
      </c>
      <c r="E18">
        <f>E15+E10</f>
        <v>92219</v>
      </c>
      <c r="F18">
        <f>F15+F10</f>
        <v>7444</v>
      </c>
      <c r="G18">
        <f>G15+G10</f>
        <v>220811</v>
      </c>
      <c r="H18">
        <f>H15+H10</f>
        <v>-18688</v>
      </c>
      <c r="I18">
        <f>I15+I10</f>
        <v>47010</v>
      </c>
      <c r="J18">
        <f>J15+J10</f>
        <v>188370</v>
      </c>
      <c r="K18">
        <f>K15+K10</f>
        <v>101263</v>
      </c>
      <c r="L18">
        <f>L15+L10</f>
        <v>37441</v>
      </c>
      <c r="M18">
        <f>M15+M10</f>
        <v>57981</v>
      </c>
    </row>
    <row r="19">
      <c r="A19" t="s">
        <v>29</v>
      </c>
      <c r="B19">
        <f>B18</f>
        <v>110776</v>
      </c>
      <c r="C19">
        <f>B19+C18</f>
        <v>198809</v>
      </c>
      <c r="D19">
        <f>C19+D18</f>
        <v>266778</v>
      </c>
      <c r="E19">
        <f>D19+E18</f>
        <v>358997</v>
      </c>
      <c r="F19">
        <f>E19+F18</f>
        <v>366441</v>
      </c>
      <c r="G19">
        <f>F19+G18</f>
        <v>587252</v>
      </c>
      <c r="H19">
        <f>G19+H18</f>
        <v>568564</v>
      </c>
      <c r="I19">
        <f>H19+I18</f>
        <v>615574</v>
      </c>
      <c r="J19">
        <f>I19+J18</f>
        <v>803944</v>
      </c>
      <c r="K19">
        <f>J19+K18</f>
        <v>905207</v>
      </c>
      <c r="L19">
        <f>K19+L18</f>
        <v>942648</v>
      </c>
      <c r="M19">
        <f>L19+M18</f>
        <v>1000629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2026-01-01T00:00:00Z</dcterms:created>
  <dcterms:modified xsi:type="dcterms:W3CDTF">2026-01-01T00:00:00Z</dcterms:modified>
  <cp:category/>
  <cp:contentStatus/>
</cp:coreProperties>
</file>